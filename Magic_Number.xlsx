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26C9A4A3-56C8-43B7-99C8-64F48BAC84C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iario Completo Leo" sheetId="4" r:id="rId1"/>
    <sheet name="Metas" sheetId="5" r:id="rId2"/>
    <sheet name="Riesgo" sheetId="7" state="hidden" r:id="rId3"/>
    <sheet name="Etapas" sheetId="6" r:id="rId4"/>
  </sheets>
  <definedNames>
    <definedName name="_xlnm._FilterDatabase" localSheetId="1" hidden="1">Metas!$A$1:$J$271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F2" i="5"/>
  <c r="G2" i="5" s="1"/>
  <c r="H2" i="5" s="1"/>
  <c r="F3" i="5"/>
  <c r="G3" i="5" s="1"/>
  <c r="H3" i="5" s="1"/>
  <c r="F4" i="5"/>
  <c r="G4" i="5" s="1"/>
  <c r="H4" i="5" s="1"/>
  <c r="F5" i="5"/>
  <c r="G5" i="5" s="1"/>
  <c r="H5" i="5" s="1"/>
  <c r="F6" i="5"/>
  <c r="G6" i="5" s="1"/>
  <c r="H6" i="5" s="1"/>
  <c r="F7" i="5"/>
  <c r="G7" i="5" s="1"/>
  <c r="H7" i="5" s="1"/>
  <c r="F8" i="5"/>
  <c r="G8" i="5" s="1"/>
  <c r="H8" i="5" s="1"/>
  <c r="F9" i="5"/>
  <c r="G9" i="5" s="1"/>
  <c r="H9" i="5" s="1"/>
  <c r="F10" i="5"/>
  <c r="G10" i="5" s="1"/>
  <c r="H10" i="5" s="1"/>
  <c r="F11" i="5"/>
  <c r="G11" i="5" s="1"/>
  <c r="H11" i="5" s="1"/>
  <c r="F12" i="5"/>
  <c r="G12" i="5" s="1"/>
  <c r="H12" i="5" s="1"/>
  <c r="F13" i="5"/>
  <c r="G13" i="5" s="1"/>
  <c r="H13" i="5" s="1"/>
  <c r="F14" i="5"/>
  <c r="G14" i="5" s="1"/>
  <c r="H14" i="5" s="1"/>
  <c r="F15" i="5"/>
  <c r="G15" i="5" s="1"/>
  <c r="H15" i="5" s="1"/>
  <c r="F16" i="5"/>
  <c r="G16" i="5" s="1"/>
  <c r="H16" i="5" s="1"/>
  <c r="F17" i="5"/>
  <c r="G17" i="5" s="1"/>
  <c r="H17" i="5" s="1"/>
  <c r="F18" i="5"/>
  <c r="G18" i="5" s="1"/>
  <c r="H18" i="5" s="1"/>
  <c r="F19" i="5"/>
  <c r="G19" i="5" s="1"/>
  <c r="H19" i="5" s="1"/>
  <c r="F20" i="5"/>
  <c r="G20" i="5" s="1"/>
  <c r="H20" i="5" s="1"/>
  <c r="F21" i="5"/>
  <c r="G21" i="5" s="1"/>
  <c r="H21" i="5" s="1"/>
  <c r="F22" i="5"/>
  <c r="G22" i="5" s="1"/>
  <c r="H22" i="5" s="1"/>
  <c r="F23" i="5"/>
  <c r="G23" i="5" s="1"/>
  <c r="H23" i="5" s="1"/>
  <c r="F24" i="5"/>
  <c r="G24" i="5" s="1"/>
  <c r="H24" i="5" s="1"/>
  <c r="F25" i="5"/>
  <c r="G25" i="5" s="1"/>
  <c r="H25" i="5" s="1"/>
  <c r="F26" i="5"/>
  <c r="G26" i="5" s="1"/>
  <c r="H26" i="5" s="1"/>
  <c r="F27" i="5"/>
  <c r="G27" i="5" s="1"/>
  <c r="H27" i="5" s="1"/>
  <c r="F28" i="5"/>
  <c r="G28" i="5" s="1"/>
  <c r="H28" i="5" s="1"/>
  <c r="F29" i="5"/>
  <c r="G29" i="5" s="1"/>
  <c r="H29" i="5" s="1"/>
  <c r="F30" i="5"/>
  <c r="G30" i="5" s="1"/>
  <c r="H30" i="5" s="1"/>
  <c r="F31" i="5"/>
  <c r="G31" i="5" s="1"/>
  <c r="H31" i="5" s="1"/>
  <c r="F32" i="5"/>
  <c r="G32" i="5" s="1"/>
  <c r="H32" i="5" s="1"/>
  <c r="F33" i="5"/>
  <c r="G33" i="5" s="1"/>
  <c r="H33" i="5" s="1"/>
  <c r="F34" i="5"/>
  <c r="G34" i="5" s="1"/>
  <c r="H34" i="5" s="1"/>
  <c r="F35" i="5"/>
  <c r="G35" i="5" s="1"/>
  <c r="H35" i="5" s="1"/>
  <c r="F36" i="5"/>
  <c r="G36" i="5" s="1"/>
  <c r="H36" i="5" s="1"/>
  <c r="F37" i="5"/>
  <c r="G37" i="5" s="1"/>
  <c r="H37" i="5" s="1"/>
  <c r="F38" i="5"/>
  <c r="G38" i="5" s="1"/>
  <c r="H38" i="5" s="1"/>
  <c r="F39" i="5"/>
  <c r="G39" i="5" s="1"/>
  <c r="H39" i="5" s="1"/>
  <c r="F40" i="5"/>
  <c r="G40" i="5" s="1"/>
  <c r="H40" i="5" s="1"/>
  <c r="F41" i="5"/>
  <c r="G41" i="5" s="1"/>
  <c r="H41" i="5" s="1"/>
  <c r="F42" i="5"/>
  <c r="G42" i="5" s="1"/>
  <c r="H42" i="5" s="1"/>
  <c r="F43" i="5"/>
  <c r="G43" i="5" s="1"/>
  <c r="H43" i="5" s="1"/>
  <c r="F44" i="5"/>
  <c r="G44" i="5" s="1"/>
  <c r="H44" i="5" s="1"/>
  <c r="F45" i="5"/>
  <c r="G45" i="5" s="1"/>
  <c r="H45" i="5" s="1"/>
  <c r="F46" i="5"/>
  <c r="G46" i="5" s="1"/>
  <c r="H46" i="5" s="1"/>
  <c r="F47" i="5"/>
  <c r="G47" i="5" s="1"/>
  <c r="H47" i="5" s="1"/>
  <c r="F48" i="5"/>
  <c r="G48" i="5" s="1"/>
  <c r="H48" i="5" s="1"/>
  <c r="F49" i="5"/>
  <c r="G49" i="5" s="1"/>
  <c r="H49" i="5" s="1"/>
  <c r="F50" i="5"/>
  <c r="G50" i="5" s="1"/>
  <c r="H50" i="5" s="1"/>
  <c r="F51" i="5"/>
  <c r="G51" i="5" s="1"/>
  <c r="H51" i="5" s="1"/>
  <c r="F52" i="5"/>
  <c r="G52" i="5" s="1"/>
  <c r="H52" i="5" s="1"/>
  <c r="F53" i="5"/>
  <c r="G53" i="5" s="1"/>
  <c r="H53" i="5" s="1"/>
  <c r="F54" i="5"/>
  <c r="G54" i="5" s="1"/>
  <c r="H54" i="5" s="1"/>
  <c r="F55" i="5"/>
  <c r="G55" i="5" s="1"/>
  <c r="H55" i="5" s="1"/>
  <c r="F56" i="5"/>
  <c r="G56" i="5" s="1"/>
  <c r="H56" i="5" s="1"/>
  <c r="F57" i="5"/>
  <c r="G57" i="5" s="1"/>
  <c r="H57" i="5" s="1"/>
  <c r="F58" i="5"/>
  <c r="G58" i="5" s="1"/>
  <c r="H58" i="5" s="1"/>
  <c r="F59" i="5"/>
  <c r="G59" i="5" s="1"/>
  <c r="H59" i="5" s="1"/>
  <c r="F60" i="5"/>
  <c r="G60" i="5" s="1"/>
  <c r="H60" i="5" s="1"/>
  <c r="F61" i="5"/>
  <c r="G61" i="5" s="1"/>
  <c r="H61" i="5" s="1"/>
  <c r="F62" i="5"/>
  <c r="G62" i="5" s="1"/>
  <c r="H62" i="5" s="1"/>
  <c r="F63" i="5"/>
  <c r="G63" i="5" s="1"/>
  <c r="H63" i="5" s="1"/>
  <c r="F64" i="5"/>
  <c r="G64" i="5" s="1"/>
  <c r="H64" i="5" s="1"/>
  <c r="F65" i="5"/>
  <c r="G65" i="5" s="1"/>
  <c r="H65" i="5" s="1"/>
  <c r="F66" i="5"/>
  <c r="G66" i="5" s="1"/>
  <c r="H66" i="5" s="1"/>
  <c r="F67" i="5"/>
  <c r="G67" i="5" s="1"/>
  <c r="H67" i="5" s="1"/>
  <c r="F68" i="5"/>
  <c r="G68" i="5" s="1"/>
  <c r="H68" i="5" s="1"/>
  <c r="F69" i="5"/>
  <c r="G69" i="5" s="1"/>
  <c r="H69" i="5" s="1"/>
  <c r="F70" i="5"/>
  <c r="G70" i="5" s="1"/>
  <c r="H70" i="5" s="1"/>
  <c r="F71" i="5"/>
  <c r="G71" i="5" s="1"/>
  <c r="H71" i="5" s="1"/>
  <c r="F72" i="5"/>
  <c r="G72" i="5" s="1"/>
  <c r="H72" i="5" s="1"/>
  <c r="F73" i="5"/>
  <c r="G73" i="5" s="1"/>
  <c r="H73" i="5" s="1"/>
  <c r="F74" i="5"/>
  <c r="G74" i="5" s="1"/>
  <c r="H74" i="5" s="1"/>
  <c r="F75" i="5"/>
  <c r="G75" i="5" s="1"/>
  <c r="H75" i="5" s="1"/>
  <c r="F76" i="5"/>
  <c r="G76" i="5" s="1"/>
  <c r="H76" i="5" s="1"/>
  <c r="F77" i="5"/>
  <c r="G77" i="5" s="1"/>
  <c r="H77" i="5" s="1"/>
  <c r="F78" i="5"/>
  <c r="G78" i="5" s="1"/>
  <c r="H78" i="5" s="1"/>
  <c r="F79" i="5"/>
  <c r="G79" i="5" s="1"/>
  <c r="H79" i="5" s="1"/>
  <c r="F80" i="5"/>
  <c r="G80" i="5" s="1"/>
  <c r="H80" i="5" s="1"/>
  <c r="F81" i="5"/>
  <c r="G81" i="5" s="1"/>
  <c r="H81" i="5" s="1"/>
  <c r="F82" i="5"/>
  <c r="G82" i="5" s="1"/>
  <c r="H82" i="5" s="1"/>
  <c r="F83" i="5"/>
  <c r="G83" i="5" s="1"/>
  <c r="H83" i="5" s="1"/>
  <c r="F84" i="5"/>
  <c r="G84" i="5" s="1"/>
  <c r="H84" i="5" s="1"/>
  <c r="F85" i="5"/>
  <c r="G85" i="5" s="1"/>
  <c r="H85" i="5" s="1"/>
  <c r="F86" i="5"/>
  <c r="G86" i="5" s="1"/>
  <c r="H86" i="5" s="1"/>
  <c r="F87" i="5"/>
  <c r="G87" i="5" s="1"/>
  <c r="H87" i="5" s="1"/>
  <c r="F88" i="5"/>
  <c r="G88" i="5" s="1"/>
  <c r="H88" i="5" s="1"/>
  <c r="F89" i="5"/>
  <c r="G89" i="5" s="1"/>
  <c r="H89" i="5" s="1"/>
  <c r="F90" i="5"/>
  <c r="G90" i="5" s="1"/>
  <c r="H90" i="5" s="1"/>
  <c r="F91" i="5"/>
  <c r="G91" i="5" s="1"/>
  <c r="H91" i="5" s="1"/>
  <c r="F92" i="5"/>
  <c r="G92" i="5" s="1"/>
  <c r="H92" i="5" s="1"/>
  <c r="F93" i="5"/>
  <c r="G93" i="5" s="1"/>
  <c r="H93" i="5" s="1"/>
  <c r="F94" i="5"/>
  <c r="G94" i="5" s="1"/>
  <c r="H94" i="5" s="1"/>
  <c r="F95" i="5"/>
  <c r="G95" i="5" s="1"/>
  <c r="H95" i="5" s="1"/>
  <c r="F96" i="5"/>
  <c r="G96" i="5" s="1"/>
  <c r="H96" i="5" s="1"/>
  <c r="F97" i="5"/>
  <c r="G97" i="5" s="1"/>
  <c r="H97" i="5" s="1"/>
  <c r="F98" i="5"/>
  <c r="G98" i="5" s="1"/>
  <c r="H98" i="5" s="1"/>
  <c r="F99" i="5"/>
  <c r="G99" i="5" s="1"/>
  <c r="H99" i="5" s="1"/>
  <c r="F100" i="5"/>
  <c r="G100" i="5" s="1"/>
  <c r="H100" i="5" s="1"/>
  <c r="F101" i="5"/>
  <c r="G101" i="5" s="1"/>
  <c r="H101" i="5" s="1"/>
  <c r="F102" i="5"/>
  <c r="G102" i="5" s="1"/>
  <c r="H102" i="5" s="1"/>
  <c r="F103" i="5"/>
  <c r="G103" i="5" s="1"/>
  <c r="H103" i="5" s="1"/>
  <c r="F104" i="5"/>
  <c r="G104" i="5" s="1"/>
  <c r="H104" i="5" s="1"/>
  <c r="F105" i="5"/>
  <c r="G105" i="5" s="1"/>
  <c r="H105" i="5" s="1"/>
  <c r="F106" i="5"/>
  <c r="G106" i="5" s="1"/>
  <c r="H106" i="5" s="1"/>
  <c r="F107" i="5"/>
  <c r="G107" i="5" s="1"/>
  <c r="H107" i="5" s="1"/>
  <c r="F108" i="5"/>
  <c r="G108" i="5" s="1"/>
  <c r="H108" i="5" s="1"/>
  <c r="F109" i="5"/>
  <c r="G109" i="5" s="1"/>
  <c r="H109" i="5" s="1"/>
  <c r="F110" i="5"/>
  <c r="G110" i="5" s="1"/>
  <c r="H110" i="5" s="1"/>
  <c r="F111" i="5"/>
  <c r="G111" i="5" s="1"/>
  <c r="H111" i="5" s="1"/>
  <c r="F112" i="5"/>
  <c r="G112" i="5" s="1"/>
  <c r="H112" i="5" s="1"/>
  <c r="F113" i="5"/>
  <c r="G113" i="5" s="1"/>
  <c r="H113" i="5" s="1"/>
  <c r="F114" i="5"/>
  <c r="G114" i="5" s="1"/>
  <c r="H114" i="5" s="1"/>
  <c r="F115" i="5"/>
  <c r="G115" i="5" s="1"/>
  <c r="H115" i="5" s="1"/>
  <c r="F116" i="5"/>
  <c r="G116" i="5" s="1"/>
  <c r="H116" i="5" s="1"/>
  <c r="F117" i="5"/>
  <c r="G117" i="5" s="1"/>
  <c r="H117" i="5" s="1"/>
  <c r="F118" i="5"/>
  <c r="G118" i="5" s="1"/>
  <c r="H118" i="5" s="1"/>
  <c r="F119" i="5"/>
  <c r="G119" i="5" s="1"/>
  <c r="H119" i="5" s="1"/>
  <c r="F120" i="5"/>
  <c r="G120" i="5" s="1"/>
  <c r="H120" i="5" s="1"/>
  <c r="F121" i="5"/>
  <c r="G121" i="5" s="1"/>
  <c r="H121" i="5" s="1"/>
  <c r="F122" i="5"/>
  <c r="G122" i="5" s="1"/>
  <c r="H122" i="5" s="1"/>
  <c r="F123" i="5"/>
  <c r="G123" i="5" s="1"/>
  <c r="H123" i="5" s="1"/>
  <c r="F124" i="5"/>
  <c r="G124" i="5" s="1"/>
  <c r="H124" i="5" s="1"/>
  <c r="F125" i="5"/>
  <c r="G125" i="5" s="1"/>
  <c r="H125" i="5" s="1"/>
  <c r="F126" i="5"/>
  <c r="G126" i="5" s="1"/>
  <c r="H126" i="5" s="1"/>
  <c r="F127" i="5"/>
  <c r="G127" i="5" s="1"/>
  <c r="H127" i="5" s="1"/>
  <c r="F128" i="5"/>
  <c r="G128" i="5" s="1"/>
  <c r="H128" i="5" s="1"/>
  <c r="F129" i="5"/>
  <c r="G129" i="5" s="1"/>
  <c r="H129" i="5" s="1"/>
  <c r="F130" i="5"/>
  <c r="G130" i="5" s="1"/>
  <c r="H130" i="5" s="1"/>
  <c r="F131" i="5"/>
  <c r="G131" i="5" s="1"/>
  <c r="H131" i="5" s="1"/>
  <c r="F132" i="5"/>
  <c r="G132" i="5" s="1"/>
  <c r="H132" i="5" s="1"/>
  <c r="F133" i="5"/>
  <c r="G133" i="5" s="1"/>
  <c r="H133" i="5" s="1"/>
  <c r="F134" i="5"/>
  <c r="G134" i="5" s="1"/>
  <c r="H134" i="5" s="1"/>
  <c r="F135" i="5"/>
  <c r="G135" i="5" s="1"/>
  <c r="H135" i="5" s="1"/>
  <c r="F136" i="5"/>
  <c r="G136" i="5" s="1"/>
  <c r="H136" i="5" s="1"/>
  <c r="F137" i="5"/>
  <c r="G137" i="5" s="1"/>
  <c r="H137" i="5" s="1"/>
  <c r="F138" i="5"/>
  <c r="G138" i="5" s="1"/>
  <c r="H138" i="5" s="1"/>
  <c r="F139" i="5"/>
  <c r="G139" i="5" s="1"/>
  <c r="H139" i="5" s="1"/>
  <c r="F140" i="5"/>
  <c r="G140" i="5" s="1"/>
  <c r="H140" i="5" s="1"/>
  <c r="F141" i="5"/>
  <c r="G141" i="5" s="1"/>
  <c r="H141" i="5" s="1"/>
  <c r="F142" i="5"/>
  <c r="G142" i="5" s="1"/>
  <c r="H142" i="5" s="1"/>
  <c r="F143" i="5"/>
  <c r="G143" i="5" s="1"/>
  <c r="H143" i="5" s="1"/>
  <c r="F144" i="5"/>
  <c r="G144" i="5" s="1"/>
  <c r="H144" i="5" s="1"/>
  <c r="F145" i="5"/>
  <c r="G145" i="5" s="1"/>
  <c r="H145" i="5" s="1"/>
  <c r="F146" i="5"/>
  <c r="G146" i="5" s="1"/>
  <c r="H146" i="5" s="1"/>
  <c r="F147" i="5"/>
  <c r="G147" i="5" s="1"/>
  <c r="H147" i="5" s="1"/>
  <c r="F148" i="5"/>
  <c r="G148" i="5" s="1"/>
  <c r="H148" i="5" s="1"/>
  <c r="F149" i="5"/>
  <c r="G149" i="5" s="1"/>
  <c r="H149" i="5" s="1"/>
  <c r="F150" i="5"/>
  <c r="G150" i="5" s="1"/>
  <c r="H150" i="5" s="1"/>
  <c r="F151" i="5"/>
  <c r="G151" i="5" s="1"/>
  <c r="H151" i="5" s="1"/>
  <c r="F152" i="5"/>
  <c r="G152" i="5" s="1"/>
  <c r="H152" i="5" s="1"/>
  <c r="F153" i="5"/>
  <c r="G153" i="5" s="1"/>
  <c r="H153" i="5" s="1"/>
  <c r="F154" i="5"/>
  <c r="G154" i="5" s="1"/>
  <c r="H154" i="5" s="1"/>
  <c r="F155" i="5"/>
  <c r="G155" i="5" s="1"/>
  <c r="H155" i="5" s="1"/>
  <c r="F156" i="5"/>
  <c r="G156" i="5" s="1"/>
  <c r="H156" i="5" s="1"/>
  <c r="F157" i="5"/>
  <c r="G157" i="5" s="1"/>
  <c r="H157" i="5" s="1"/>
  <c r="F158" i="5"/>
  <c r="G158" i="5" s="1"/>
  <c r="H158" i="5" s="1"/>
  <c r="F159" i="5"/>
  <c r="G159" i="5" s="1"/>
  <c r="H159" i="5" s="1"/>
  <c r="F160" i="5"/>
  <c r="G160" i="5" s="1"/>
  <c r="H160" i="5" s="1"/>
  <c r="F161" i="5"/>
  <c r="G161" i="5" s="1"/>
  <c r="H161" i="5" s="1"/>
  <c r="F162" i="5"/>
  <c r="G162" i="5" s="1"/>
  <c r="H162" i="5" s="1"/>
  <c r="F163" i="5"/>
  <c r="G163" i="5" s="1"/>
  <c r="H163" i="5" s="1"/>
  <c r="F164" i="5"/>
  <c r="G164" i="5" s="1"/>
  <c r="H164" i="5" s="1"/>
  <c r="F165" i="5"/>
  <c r="G165" i="5" s="1"/>
  <c r="H165" i="5" s="1"/>
  <c r="F166" i="5"/>
  <c r="G166" i="5" s="1"/>
  <c r="H166" i="5" s="1"/>
  <c r="F167" i="5"/>
  <c r="G167" i="5" s="1"/>
  <c r="H167" i="5" s="1"/>
  <c r="F168" i="5"/>
  <c r="G168" i="5" s="1"/>
  <c r="H168" i="5" s="1"/>
  <c r="F169" i="5"/>
  <c r="G169" i="5" s="1"/>
  <c r="H169" i="5" s="1"/>
  <c r="F170" i="5"/>
  <c r="G170" i="5" s="1"/>
  <c r="H170" i="5" s="1"/>
  <c r="F171" i="5"/>
  <c r="G171" i="5" s="1"/>
  <c r="H171" i="5" s="1"/>
  <c r="F172" i="5"/>
  <c r="G172" i="5" s="1"/>
  <c r="H172" i="5" s="1"/>
  <c r="F173" i="5"/>
  <c r="G173" i="5" s="1"/>
  <c r="H173" i="5" s="1"/>
  <c r="F174" i="5"/>
  <c r="G174" i="5" s="1"/>
  <c r="H174" i="5" s="1"/>
  <c r="F175" i="5"/>
  <c r="G175" i="5" s="1"/>
  <c r="H175" i="5" s="1"/>
  <c r="F176" i="5"/>
  <c r="G176" i="5" s="1"/>
  <c r="H176" i="5" s="1"/>
  <c r="F177" i="5"/>
  <c r="G177" i="5" s="1"/>
  <c r="H177" i="5" s="1"/>
  <c r="F178" i="5"/>
  <c r="G178" i="5" s="1"/>
  <c r="H178" i="5" s="1"/>
  <c r="F179" i="5"/>
  <c r="G179" i="5" s="1"/>
  <c r="H179" i="5" s="1"/>
  <c r="F180" i="5"/>
  <c r="G180" i="5" s="1"/>
  <c r="H180" i="5" s="1"/>
  <c r="F181" i="5"/>
  <c r="G181" i="5" s="1"/>
  <c r="H181" i="5" s="1"/>
  <c r="F182" i="5"/>
  <c r="G182" i="5" s="1"/>
  <c r="H182" i="5" s="1"/>
  <c r="F183" i="5"/>
  <c r="G183" i="5" s="1"/>
  <c r="H183" i="5" s="1"/>
  <c r="F184" i="5"/>
  <c r="G184" i="5" s="1"/>
  <c r="H184" i="5" s="1"/>
  <c r="F185" i="5"/>
  <c r="G185" i="5" s="1"/>
  <c r="H185" i="5" s="1"/>
  <c r="F186" i="5"/>
  <c r="G186" i="5" s="1"/>
  <c r="H186" i="5" s="1"/>
  <c r="F187" i="5"/>
  <c r="G187" i="5" s="1"/>
  <c r="H187" i="5" s="1"/>
  <c r="F188" i="5"/>
  <c r="G188" i="5" s="1"/>
  <c r="H188" i="5" s="1"/>
  <c r="F189" i="5"/>
  <c r="G189" i="5" s="1"/>
  <c r="H189" i="5" s="1"/>
  <c r="F190" i="5"/>
  <c r="G190" i="5" s="1"/>
  <c r="H190" i="5" s="1"/>
  <c r="F191" i="5"/>
  <c r="G191" i="5" s="1"/>
  <c r="H191" i="5" s="1"/>
  <c r="F192" i="5"/>
  <c r="G192" i="5" s="1"/>
  <c r="H192" i="5" s="1"/>
  <c r="F193" i="5"/>
  <c r="G193" i="5" s="1"/>
  <c r="H193" i="5" s="1"/>
  <c r="F194" i="5"/>
  <c r="G194" i="5" s="1"/>
  <c r="H194" i="5" s="1"/>
  <c r="F195" i="5"/>
  <c r="G195" i="5" s="1"/>
  <c r="H195" i="5" s="1"/>
  <c r="F196" i="5"/>
  <c r="G196" i="5" s="1"/>
  <c r="H196" i="5" s="1"/>
  <c r="F197" i="5"/>
  <c r="G197" i="5" s="1"/>
  <c r="H197" i="5" s="1"/>
  <c r="F198" i="5"/>
  <c r="G198" i="5" s="1"/>
  <c r="H198" i="5" s="1"/>
  <c r="F199" i="5"/>
  <c r="G199" i="5" s="1"/>
  <c r="H199" i="5" s="1"/>
  <c r="F200" i="5"/>
  <c r="G200" i="5" s="1"/>
  <c r="H200" i="5" s="1"/>
  <c r="F201" i="5"/>
  <c r="G201" i="5" s="1"/>
  <c r="H201" i="5" s="1"/>
  <c r="F202" i="5"/>
  <c r="G202" i="5" s="1"/>
  <c r="H202" i="5" s="1"/>
  <c r="F203" i="5"/>
  <c r="G203" i="5" s="1"/>
  <c r="H203" i="5" s="1"/>
  <c r="F204" i="5"/>
  <c r="G204" i="5" s="1"/>
  <c r="H204" i="5" s="1"/>
  <c r="F205" i="5"/>
  <c r="G205" i="5" s="1"/>
  <c r="H205" i="5" s="1"/>
  <c r="F206" i="5"/>
  <c r="G206" i="5" s="1"/>
  <c r="H206" i="5" s="1"/>
  <c r="F207" i="5"/>
  <c r="G207" i="5" s="1"/>
  <c r="H207" i="5" s="1"/>
  <c r="F208" i="5"/>
  <c r="G208" i="5" s="1"/>
  <c r="H208" i="5" s="1"/>
  <c r="F209" i="5"/>
  <c r="G209" i="5" s="1"/>
  <c r="H209" i="5" s="1"/>
  <c r="F210" i="5"/>
  <c r="G210" i="5" s="1"/>
  <c r="H210" i="5" s="1"/>
  <c r="F211" i="5"/>
  <c r="G211" i="5" s="1"/>
  <c r="H211" i="5" s="1"/>
  <c r="F212" i="5"/>
  <c r="G212" i="5" s="1"/>
  <c r="H212" i="5" s="1"/>
  <c r="F213" i="5"/>
  <c r="G213" i="5" s="1"/>
  <c r="H213" i="5" s="1"/>
  <c r="F214" i="5"/>
  <c r="G214" i="5" s="1"/>
  <c r="H214" i="5" s="1"/>
  <c r="F215" i="5"/>
  <c r="G215" i="5" s="1"/>
  <c r="H215" i="5" s="1"/>
  <c r="F216" i="5"/>
  <c r="G216" i="5" s="1"/>
  <c r="H216" i="5" s="1"/>
  <c r="F217" i="5"/>
  <c r="G217" i="5" s="1"/>
  <c r="H217" i="5" s="1"/>
  <c r="F218" i="5"/>
  <c r="G218" i="5" s="1"/>
  <c r="H218" i="5" s="1"/>
  <c r="F219" i="5"/>
  <c r="G219" i="5" s="1"/>
  <c r="H219" i="5" s="1"/>
  <c r="F220" i="5"/>
  <c r="G220" i="5" s="1"/>
  <c r="H220" i="5" s="1"/>
  <c r="F221" i="5"/>
  <c r="G221" i="5" s="1"/>
  <c r="H221" i="5" s="1"/>
  <c r="F222" i="5"/>
  <c r="G222" i="5" s="1"/>
  <c r="H222" i="5" s="1"/>
  <c r="F223" i="5"/>
  <c r="G223" i="5" s="1"/>
  <c r="H223" i="5" s="1"/>
  <c r="F224" i="5"/>
  <c r="G224" i="5" s="1"/>
  <c r="H224" i="5" s="1"/>
  <c r="F225" i="5"/>
  <c r="G225" i="5" s="1"/>
  <c r="H225" i="5" s="1"/>
  <c r="F226" i="5"/>
  <c r="G226" i="5" s="1"/>
  <c r="H226" i="5" s="1"/>
  <c r="F227" i="5"/>
  <c r="G227" i="5" s="1"/>
  <c r="H227" i="5" s="1"/>
  <c r="F228" i="5"/>
  <c r="G228" i="5" s="1"/>
  <c r="H228" i="5" s="1"/>
  <c r="F229" i="5"/>
  <c r="G229" i="5" s="1"/>
  <c r="H229" i="5" s="1"/>
  <c r="F230" i="5"/>
  <c r="G230" i="5" s="1"/>
  <c r="H230" i="5" s="1"/>
  <c r="F231" i="5"/>
  <c r="G231" i="5" s="1"/>
  <c r="H231" i="5" s="1"/>
  <c r="F232" i="5"/>
  <c r="G232" i="5" s="1"/>
  <c r="H232" i="5" s="1"/>
  <c r="F233" i="5"/>
  <c r="G233" i="5" s="1"/>
  <c r="H233" i="5" s="1"/>
  <c r="F234" i="5"/>
  <c r="G234" i="5" s="1"/>
  <c r="H234" i="5" s="1"/>
  <c r="F235" i="5"/>
  <c r="G235" i="5" s="1"/>
  <c r="H235" i="5" s="1"/>
  <c r="F236" i="5"/>
  <c r="G236" i="5" s="1"/>
  <c r="H236" i="5" s="1"/>
  <c r="F237" i="5"/>
  <c r="G237" i="5" s="1"/>
  <c r="H237" i="5" s="1"/>
  <c r="F238" i="5"/>
  <c r="G238" i="5" s="1"/>
  <c r="H238" i="5" s="1"/>
  <c r="F239" i="5"/>
  <c r="G239" i="5" s="1"/>
  <c r="H239" i="5" s="1"/>
  <c r="F240" i="5"/>
  <c r="G240" i="5" s="1"/>
  <c r="H240" i="5" s="1"/>
  <c r="F241" i="5"/>
  <c r="G241" i="5" s="1"/>
  <c r="H241" i="5" s="1"/>
  <c r="F242" i="5"/>
  <c r="G242" i="5" s="1"/>
  <c r="H242" i="5" s="1"/>
  <c r="F243" i="5"/>
  <c r="G243" i="5" s="1"/>
  <c r="H243" i="5" s="1"/>
  <c r="F244" i="5"/>
  <c r="G244" i="5" s="1"/>
  <c r="H244" i="5" s="1"/>
  <c r="F245" i="5"/>
  <c r="G245" i="5" s="1"/>
  <c r="H245" i="5" s="1"/>
  <c r="F246" i="5"/>
  <c r="G246" i="5" s="1"/>
  <c r="H246" i="5" s="1"/>
  <c r="F247" i="5"/>
  <c r="G247" i="5" s="1"/>
  <c r="H247" i="5" s="1"/>
  <c r="F248" i="5"/>
  <c r="G248" i="5" s="1"/>
  <c r="H248" i="5" s="1"/>
  <c r="F249" i="5"/>
  <c r="G249" i="5" s="1"/>
  <c r="H249" i="5" s="1"/>
  <c r="F250" i="5"/>
  <c r="G250" i="5" s="1"/>
  <c r="H250" i="5" s="1"/>
  <c r="F251" i="5"/>
  <c r="G251" i="5" s="1"/>
  <c r="H251" i="5" s="1"/>
  <c r="F252" i="5"/>
  <c r="G252" i="5" s="1"/>
  <c r="H252" i="5" s="1"/>
  <c r="F253" i="5"/>
  <c r="G253" i="5" s="1"/>
  <c r="H253" i="5" s="1"/>
  <c r="F254" i="5"/>
  <c r="G254" i="5" s="1"/>
  <c r="H254" i="5" s="1"/>
  <c r="F255" i="5"/>
  <c r="G255" i="5" s="1"/>
  <c r="H255" i="5" s="1"/>
  <c r="F256" i="5"/>
  <c r="G256" i="5" s="1"/>
  <c r="H256" i="5" s="1"/>
  <c r="F257" i="5"/>
  <c r="G257" i="5" s="1"/>
  <c r="H257" i="5" s="1"/>
  <c r="F258" i="5"/>
  <c r="G258" i="5" s="1"/>
  <c r="H258" i="5" s="1"/>
  <c r="F259" i="5"/>
  <c r="G259" i="5" s="1"/>
  <c r="H259" i="5" s="1"/>
  <c r="F260" i="5"/>
  <c r="G260" i="5" s="1"/>
  <c r="H260" i="5" s="1"/>
  <c r="F261" i="5"/>
  <c r="G261" i="5" s="1"/>
  <c r="H261" i="5" s="1"/>
  <c r="F262" i="5"/>
  <c r="G262" i="5" s="1"/>
  <c r="H262" i="5" s="1"/>
  <c r="F263" i="5"/>
  <c r="G263" i="5" s="1"/>
  <c r="H263" i="5" s="1"/>
  <c r="F264" i="5"/>
  <c r="G264" i="5" s="1"/>
  <c r="H264" i="5" s="1"/>
  <c r="F265" i="5"/>
  <c r="G265" i="5" s="1"/>
  <c r="H265" i="5" s="1"/>
  <c r="F266" i="5"/>
  <c r="G266" i="5" s="1"/>
  <c r="H266" i="5" s="1"/>
  <c r="F267" i="5"/>
  <c r="G267" i="5" s="1"/>
  <c r="H267" i="5" s="1"/>
  <c r="F268" i="5"/>
  <c r="G268" i="5" s="1"/>
  <c r="H268" i="5" s="1"/>
  <c r="F269" i="5"/>
  <c r="G269" i="5" s="1"/>
  <c r="H269" i="5" s="1"/>
  <c r="F270" i="5"/>
  <c r="G270" i="5" s="1"/>
  <c r="H270" i="5" s="1"/>
  <c r="F271" i="5"/>
  <c r="G271" i="5" s="1"/>
  <c r="H271" i="5" s="1"/>
  <c r="B270" i="5"/>
  <c r="B271" i="5"/>
  <c r="B263" i="5"/>
  <c r="B264" i="5"/>
  <c r="B256" i="5"/>
  <c r="B257" i="5"/>
  <c r="B249" i="5"/>
  <c r="B250" i="5"/>
  <c r="B242" i="5"/>
  <c r="B243" i="5"/>
  <c r="B235" i="5"/>
  <c r="B236" i="5"/>
  <c r="B228" i="5"/>
  <c r="B229" i="5"/>
  <c r="B221" i="5"/>
  <c r="B222" i="5"/>
  <c r="B214" i="5"/>
  <c r="B215" i="5"/>
  <c r="B207" i="5"/>
  <c r="B208" i="5"/>
  <c r="B200" i="5"/>
  <c r="B201" i="5"/>
  <c r="B193" i="5"/>
  <c r="B194" i="5"/>
  <c r="B186" i="5"/>
  <c r="B187" i="5"/>
  <c r="B179" i="5"/>
  <c r="B180" i="5"/>
  <c r="B172" i="5"/>
  <c r="B173" i="5"/>
  <c r="B165" i="5"/>
  <c r="B166" i="5"/>
  <c r="B158" i="5"/>
  <c r="B159" i="5"/>
  <c r="B151" i="5"/>
  <c r="B152" i="5"/>
  <c r="B144" i="5"/>
  <c r="B145" i="5"/>
  <c r="B137" i="5"/>
  <c r="B138" i="5"/>
  <c r="B130" i="5"/>
  <c r="B131" i="5"/>
  <c r="B123" i="5"/>
  <c r="B124" i="5"/>
  <c r="B116" i="5"/>
  <c r="B117" i="5"/>
  <c r="B109" i="5"/>
  <c r="B110" i="5"/>
  <c r="B102" i="5"/>
  <c r="B103" i="5"/>
  <c r="B95" i="5"/>
  <c r="B96" i="5"/>
  <c r="B88" i="5"/>
  <c r="B89" i="5"/>
  <c r="B81" i="5"/>
  <c r="B82" i="5"/>
  <c r="B74" i="5"/>
  <c r="B75" i="5"/>
  <c r="B67" i="5"/>
  <c r="B68" i="5"/>
  <c r="B60" i="5"/>
  <c r="B61" i="5"/>
  <c r="B53" i="5"/>
  <c r="B54" i="5"/>
  <c r="B46" i="5"/>
  <c r="B47" i="5"/>
  <c r="B39" i="5"/>
  <c r="B40" i="5"/>
  <c r="B32" i="5"/>
  <c r="B33" i="5"/>
  <c r="B25" i="5"/>
  <c r="B26" i="5"/>
  <c r="B18" i="5"/>
  <c r="B19" i="5"/>
  <c r="B11" i="5"/>
  <c r="B12" i="5"/>
  <c r="B4" i="5"/>
  <c r="B5" i="5"/>
  <c r="B3" i="5"/>
  <c r="B6" i="5"/>
  <c r="B7" i="5"/>
  <c r="B8" i="5"/>
  <c r="B9" i="5"/>
  <c r="B10" i="5"/>
  <c r="B13" i="5"/>
  <c r="B14" i="5"/>
  <c r="B15" i="5"/>
  <c r="B16" i="5"/>
  <c r="B17" i="5"/>
  <c r="B20" i="5"/>
  <c r="B21" i="5"/>
  <c r="B22" i="5"/>
  <c r="B23" i="5"/>
  <c r="B24" i="5"/>
  <c r="B27" i="5"/>
  <c r="B28" i="5"/>
  <c r="B29" i="5"/>
  <c r="B30" i="5"/>
  <c r="B31" i="5"/>
  <c r="B34" i="5"/>
  <c r="B35" i="5"/>
  <c r="B36" i="5"/>
  <c r="B37" i="5"/>
  <c r="B38" i="5"/>
  <c r="B41" i="5"/>
  <c r="B42" i="5"/>
  <c r="B43" i="5"/>
  <c r="B44" i="5"/>
  <c r="B45" i="5"/>
  <c r="B48" i="5"/>
  <c r="B49" i="5"/>
  <c r="B50" i="5"/>
  <c r="B51" i="5"/>
  <c r="B52" i="5"/>
  <c r="B55" i="5"/>
  <c r="B56" i="5"/>
  <c r="B57" i="5"/>
  <c r="B58" i="5"/>
  <c r="B59" i="5"/>
  <c r="B62" i="5"/>
  <c r="B63" i="5"/>
  <c r="B64" i="5"/>
  <c r="B65" i="5"/>
  <c r="B66" i="5"/>
  <c r="B69" i="5"/>
  <c r="B70" i="5"/>
  <c r="B71" i="5"/>
  <c r="B72" i="5"/>
  <c r="B73" i="5"/>
  <c r="B76" i="5"/>
  <c r="B77" i="5"/>
  <c r="B78" i="5"/>
  <c r="B79" i="5"/>
  <c r="B80" i="5"/>
  <c r="B83" i="5"/>
  <c r="B84" i="5"/>
  <c r="B85" i="5"/>
  <c r="B86" i="5"/>
  <c r="B87" i="5"/>
  <c r="B90" i="5"/>
  <c r="B91" i="5"/>
  <c r="B92" i="5"/>
  <c r="B93" i="5"/>
  <c r="B94" i="5"/>
  <c r="B97" i="5"/>
  <c r="B98" i="5"/>
  <c r="B99" i="5"/>
  <c r="B100" i="5"/>
  <c r="B101" i="5"/>
  <c r="B104" i="5"/>
  <c r="B105" i="5"/>
  <c r="B106" i="5"/>
  <c r="B107" i="5"/>
  <c r="B108" i="5"/>
  <c r="B111" i="5"/>
  <c r="B112" i="5"/>
  <c r="B113" i="5"/>
  <c r="B114" i="5"/>
  <c r="B115" i="5"/>
  <c r="B118" i="5"/>
  <c r="B119" i="5"/>
  <c r="B120" i="5"/>
  <c r="B121" i="5"/>
  <c r="B122" i="5"/>
  <c r="B125" i="5"/>
  <c r="B126" i="5"/>
  <c r="B127" i="5"/>
  <c r="B128" i="5"/>
  <c r="B129" i="5"/>
  <c r="B132" i="5"/>
  <c r="B133" i="5"/>
  <c r="B134" i="5"/>
  <c r="B135" i="5"/>
  <c r="B136" i="5"/>
  <c r="B139" i="5"/>
  <c r="B140" i="5"/>
  <c r="B141" i="5"/>
  <c r="B142" i="5"/>
  <c r="B143" i="5"/>
  <c r="B146" i="5"/>
  <c r="B147" i="5"/>
  <c r="B148" i="5"/>
  <c r="B149" i="5"/>
  <c r="B150" i="5"/>
  <c r="B153" i="5"/>
  <c r="B154" i="5"/>
  <c r="B155" i="5"/>
  <c r="B156" i="5"/>
  <c r="B157" i="5"/>
  <c r="B160" i="5"/>
  <c r="B161" i="5"/>
  <c r="B162" i="5"/>
  <c r="B163" i="5"/>
  <c r="B164" i="5"/>
  <c r="B167" i="5"/>
  <c r="B168" i="5"/>
  <c r="B169" i="5"/>
  <c r="B170" i="5"/>
  <c r="B171" i="5"/>
  <c r="B174" i="5"/>
  <c r="B175" i="5"/>
  <c r="B176" i="5"/>
  <c r="B177" i="5"/>
  <c r="B178" i="5"/>
  <c r="B181" i="5"/>
  <c r="B182" i="5"/>
  <c r="B183" i="5"/>
  <c r="B184" i="5"/>
  <c r="B185" i="5"/>
  <c r="B188" i="5"/>
  <c r="B189" i="5"/>
  <c r="B190" i="5"/>
  <c r="B191" i="5"/>
  <c r="B192" i="5"/>
  <c r="B195" i="5"/>
  <c r="B196" i="5"/>
  <c r="B197" i="5"/>
  <c r="B198" i="5"/>
  <c r="B199" i="5"/>
  <c r="B202" i="5"/>
  <c r="B203" i="5"/>
  <c r="B204" i="5"/>
  <c r="B205" i="5"/>
  <c r="B206" i="5"/>
  <c r="B209" i="5"/>
  <c r="B210" i="5"/>
  <c r="B211" i="5"/>
  <c r="B212" i="5"/>
  <c r="B213" i="5"/>
  <c r="B216" i="5"/>
  <c r="B217" i="5"/>
  <c r="B218" i="5"/>
  <c r="B219" i="5"/>
  <c r="B220" i="5"/>
  <c r="B223" i="5"/>
  <c r="B224" i="5"/>
  <c r="B225" i="5"/>
  <c r="B226" i="5"/>
  <c r="B227" i="5"/>
  <c r="B230" i="5"/>
  <c r="B231" i="5"/>
  <c r="B232" i="5"/>
  <c r="B233" i="5"/>
  <c r="B234" i="5"/>
  <c r="B237" i="5"/>
  <c r="B238" i="5"/>
  <c r="B239" i="5"/>
  <c r="B240" i="5"/>
  <c r="B241" i="5"/>
  <c r="B244" i="5"/>
  <c r="B245" i="5"/>
  <c r="B246" i="5"/>
  <c r="B247" i="5"/>
  <c r="B248" i="5"/>
  <c r="B251" i="5"/>
  <c r="B252" i="5"/>
  <c r="B253" i="5"/>
  <c r="B254" i="5"/>
  <c r="B255" i="5"/>
  <c r="B258" i="5"/>
  <c r="B259" i="5"/>
  <c r="B260" i="5"/>
  <c r="B261" i="5"/>
  <c r="B262" i="5"/>
  <c r="B265" i="5"/>
  <c r="B266" i="5"/>
  <c r="B267" i="5"/>
  <c r="B268" i="5"/>
  <c r="B269" i="5"/>
  <c r="B2" i="5"/>
  <c r="M2" i="4"/>
  <c r="K2" i="4"/>
  <c r="C3" i="4" l="1"/>
  <c r="K3" i="4" l="1"/>
  <c r="M3" i="4"/>
  <c r="C4" i="4"/>
  <c r="N3" i="4"/>
  <c r="K4" i="4" l="1"/>
  <c r="M4" i="4"/>
  <c r="C5" i="4"/>
  <c r="N4" i="4"/>
  <c r="K5" i="4" l="1"/>
  <c r="M5" i="4"/>
  <c r="C6" i="4"/>
  <c r="N5" i="4"/>
  <c r="K6" i="4" l="1"/>
  <c r="M6" i="4"/>
  <c r="C7" i="4"/>
  <c r="N6" i="4"/>
  <c r="K7" i="4" l="1"/>
  <c r="M7" i="4"/>
  <c r="C8" i="4"/>
  <c r="N7" i="4"/>
  <c r="K8" i="4" l="1"/>
  <c r="C9" i="4" s="1"/>
  <c r="M8" i="4"/>
  <c r="N8" i="4"/>
  <c r="M9" i="4" l="1"/>
  <c r="N9" i="4" s="1"/>
  <c r="K9" i="4"/>
</calcChain>
</file>

<file path=xl/sharedStrings.xml><?xml version="1.0" encoding="utf-8"?>
<sst xmlns="http://schemas.openxmlformats.org/spreadsheetml/2006/main" count="178" uniqueCount="84">
  <si>
    <t>Fecha</t>
  </si>
  <si>
    <t xml:space="preserve">Etapa </t>
  </si>
  <si>
    <t xml:space="preserve">Balance Inicial </t>
  </si>
  <si>
    <t>Resultado</t>
  </si>
  <si>
    <t>Operación</t>
  </si>
  <si>
    <t>Estrategia</t>
  </si>
  <si>
    <t>Ajuste 1</t>
  </si>
  <si>
    <t>Ajuste 2</t>
  </si>
  <si>
    <t>Ajuste 3</t>
  </si>
  <si>
    <t>Ajuste 4</t>
  </si>
  <si>
    <t>Balance Final</t>
  </si>
  <si>
    <t>Abono/Retiro</t>
  </si>
  <si>
    <t>% día</t>
  </si>
  <si>
    <t>% Acumulado</t>
  </si>
  <si>
    <t>Observaciones</t>
  </si>
  <si>
    <t>Concepto</t>
  </si>
  <si>
    <t>Semilla</t>
  </si>
  <si>
    <t>TP</t>
  </si>
  <si>
    <t>SELL</t>
  </si>
  <si>
    <t>Mercado con ruido, se ingresa a la operación asegurando un 50% y dejando correr, cierra SL positivo, se devuelve precio a Compra</t>
  </si>
  <si>
    <t>Proteger primero: con ruido, asegurar el 50% y dejar correr; el mercado paga después.</t>
  </si>
  <si>
    <t>SL</t>
  </si>
  <si>
    <t>Ruido en Ventas, se asegura entrada inmediatamente queda en positivo se devuelve a SL</t>
  </si>
  <si>
    <t>Salir en cero también es ganar: en el ruido se asegura de inmediato y, si el precio se devuelve, la gestión ya hizo su trabajo.</t>
  </si>
  <si>
    <t>PPA 300, SL Ahorrado</t>
  </si>
  <si>
    <t>No operar es una operación: con PPA 300 la señal pierde su ventaja y el SL ahorrado es capital protegido.</t>
  </si>
  <si>
    <t>PPA 135, SL Ahorrado</t>
  </si>
  <si>
    <t>La constancia en la regla: segundo SL ahorrado seguido (PPA 135); el filtro cuida la cuenta aunque no se vea.</t>
  </si>
  <si>
    <t>PA 59, TP</t>
  </si>
  <si>
    <t>La regla se juzga en la serie, no en un día: PA 59 dejó fuera un TP que corrió hasta 1:4 y aun así se respeta el filtro.</t>
  </si>
  <si>
    <t>Apertura con ruido en compra, se abre la venta pero se devuelve el precio, tranquilo sin expectativa, se hacen ajustes quedan todos en protección en el retroceso de la vela</t>
  </si>
  <si>
    <t>Operar sin expectativa: si el precio se devuelve, proteger en el retroceso de la vela y aceptar la pérdida controlada.</t>
  </si>
  <si>
    <t>PPA 141, se hacen 3 ajustes, por impulso se hace el tercero aunque se gano esa ultima debo respetar que maximo 2 operaciones, se hay estrategia un ajuste sino maximo 2 ajustes diarios (DISCIPLINA)</t>
  </si>
  <si>
    <t>Ganar por impulso no es disciplina: el tercer ajuste salió positivo, pero el límite de 2 ajustes no se negocia.</t>
  </si>
  <si>
    <t>BUY</t>
  </si>
  <si>
    <t>PA 56, No se ingresa por reglas, se hace los ajustes correspondientes</t>
  </si>
  <si>
    <t>Respeto mi filtro y cuido mi capital: esperar también es operar con inteligencia.</t>
  </si>
  <si>
    <t>Dia Semana</t>
  </si>
  <si>
    <t>Dia Comienzo Meta</t>
  </si>
  <si>
    <t>Ratio</t>
  </si>
  <si>
    <t>Etapa</t>
  </si>
  <si>
    <t>% Op. Etapa</t>
  </si>
  <si>
    <t>% Esperado</t>
  </si>
  <si>
    <t>% Planeado</t>
  </si>
  <si>
    <t>Noticia</t>
  </si>
  <si>
    <t>Nota</t>
  </si>
  <si>
    <t>13:00 Federal Funds Rate, FOMC Statement, FOMC Press Conference</t>
  </si>
  <si>
    <t>07:30 Advance GDP q/q, Core PCE Price Index m/m</t>
  </si>
  <si>
    <t>Congressional Elections</t>
  </si>
  <si>
    <t>Incubación</t>
  </si>
  <si>
    <t>08:30 Average Hourly Earnings m/m, Non-Farm Employment Change, Unemployment Rate</t>
  </si>
  <si>
    <t>8:30 Core CPI m/m, Core CPI y/y, CPI m/m, CPI y/y</t>
  </si>
  <si>
    <t>Bank Holiday</t>
  </si>
  <si>
    <t>08:30 Core PPI m/m, PPI m/m</t>
  </si>
  <si>
    <t>08:30 Core Retail Sales m/m, Retail Sales m/m</t>
  </si>
  <si>
    <t>14:00 FOMC Meeting Minutes</t>
  </si>
  <si>
    <t>08:30 Core PCE Price Index m/m, Prelim GDP q/q</t>
  </si>
  <si>
    <t>DIA DE LA SEMANA</t>
  </si>
  <si>
    <t>RATIO</t>
  </si>
  <si>
    <t>LUNES</t>
  </si>
  <si>
    <t>MARTES</t>
  </si>
  <si>
    <t>MIÉRCOLES</t>
  </si>
  <si>
    <t>JUEVES</t>
  </si>
  <si>
    <t>VIERNES</t>
  </si>
  <si>
    <t>SÁBADO</t>
  </si>
  <si>
    <t>DOMINGO</t>
  </si>
  <si>
    <t>% Op</t>
  </si>
  <si>
    <t>Dias Minimos</t>
  </si>
  <si>
    <t>Dias Meta</t>
  </si>
  <si>
    <t>Multiplicador</t>
  </si>
  <si>
    <t>Edge</t>
  </si>
  <si>
    <t>% a Ganar</t>
  </si>
  <si>
    <t>% Ganancias</t>
  </si>
  <si>
    <t>Capital Personal</t>
  </si>
  <si>
    <t>$500 → $1,000</t>
  </si>
  <si>
    <t>$1,000 → $2,000</t>
  </si>
  <si>
    <t>Aceleración</t>
  </si>
  <si>
    <t>$2,000 → $5,000</t>
  </si>
  <si>
    <t>Pro</t>
  </si>
  <si>
    <t>$5,000 → $10,000</t>
  </si>
  <si>
    <t>Pro 500</t>
  </si>
  <si>
    <t>$10,000 → $20,000</t>
  </si>
  <si>
    <t>Pro M</t>
  </si>
  <si>
    <t>$20,000 → $1,000,000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</si>
</sst>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Verdan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 vertical="center" wrapText="1"/>
    </xf>
    <xf numFmtId="2" fontId="0" fillId="0" borderId="0" xfId="0" applyNumberFormat="1" applyBorder="1"/>
    <xf numFmtId="14" fontId="0" fillId="0" borderId="0" xfId="0" applyNumberFormat="1" applyBorder="1"/>
    <xf numFmtId="0" fontId="0" fillId="0" borderId="0" xfId="0" applyBorder="1"/>
    <xf numFmtId="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2" borderId="4" xfId="0" applyNumberFormat="1" applyFill="1" applyBorder="1"/>
    <xf numFmtId="0" fontId="0" fillId="2" borderId="4" xfId="0" applyFill="1" applyBorder="1"/>
    <xf numFmtId="2" fontId="0" fillId="2" borderId="0" xfId="0" applyNumberFormat="1" applyFill="1" applyBorder="1"/>
    <xf numFmtId="164" fontId="0" fillId="2" borderId="0" xfId="0" applyNumberFormat="1" applyFill="1" applyBorder="1"/>
    <xf numFmtId="2" fontId="0" fillId="2" borderId="5" xfId="0" applyNumberFormat="1" applyFill="1" applyBorder="1"/>
    <xf numFmtId="165" fontId="0" fillId="0" borderId="3" xfId="0" applyNumberFormat="1" applyBorder="1" applyAlignment="1">
      <alignment horizontal="left" vertical="center"/>
    </xf>
    <xf numFmtId="165" fontId="0" fillId="2" borderId="5" xfId="0" applyNumberFormat="1" applyFill="1" applyBorder="1"/>
    <xf numFmtId="165" fontId="0" fillId="0" borderId="0" xfId="0" applyNumberFormat="1" applyBorder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0" fontId="2" fillId="0" borderId="0" xfId="0" applyFont="1"/>
    <xf numFmtId="20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26"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9" formatCode="dd/mm/yyyy"/>
    </dxf>
    <dxf>
      <numFmt numFmtId="164" formatCode="0.0"/>
      <fill>
        <patternFill patternType="solid">
          <fgColor indexed="64"/>
          <bgColor theme="9" tint="0.39997558519241921"/>
        </patternFill>
      </fill>
    </dxf>
    <dxf>
      <numFmt numFmtId="164" formatCode="0.0"/>
      <fill>
        <patternFill patternType="solid">
          <fgColor indexed="64"/>
          <bgColor theme="9" tint="0.39997558519241921"/>
        </patternFill>
      </fill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numFmt numFmtId="2" formatCode="0.00"/>
    </dxf>
    <dxf>
      <numFmt numFmtId="19" formatCode="dd/mm/yyyy"/>
    </dxf>
    <dxf>
      <border>
        <bottom style="medium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64674-65C8-4841-9ACB-40AEA98C620C}" name="Tabla13" displayName="Tabla13" ref="A1:P9" totalsRowShown="0" headerRowDxfId="24" headerRowBorderDxfId="23">
  <autoFilter ref="A1:P9" xr:uid="{4A9E33D3-7020-4F9C-BD9E-F60D3EA3C645}"/>
  <tableColumns count="16">
    <tableColumn id="1" xr3:uid="{B2179686-94A6-47CB-82BB-24954724055D}" name="Fecha" dataDxfId="22"/>
    <tableColumn id="14" xr3:uid="{E37DBF04-766D-4AF7-9F73-CBD71B2EB08F}" name="Etapa "/>
    <tableColumn id="15" xr3:uid="{DD97F666-A12A-4AEC-BCDF-0D6CA1EC34DB}" name="Balance Inicial " dataDxfId="21"/>
    <tableColumn id="10" xr3:uid="{BEDB6958-2619-444F-9BA6-5C01EF5126BE}" name="Resultado" dataDxfId="20"/>
    <tableColumn id="9" xr3:uid="{3D99FEEF-4BC6-4C34-8507-1BDC55D468B4}" name="Operación" dataDxfId="19"/>
    <tableColumn id="16" xr3:uid="{0CB2D386-CD95-48B6-BE32-8E5E30974ED8}" name="Estrategia" dataDxfId="18"/>
    <tableColumn id="17" xr3:uid="{BE561AEF-A3F1-4D70-ACEB-238E5CF316B3}" name="Ajuste 1" dataDxfId="17"/>
    <tableColumn id="4" xr3:uid="{A23A4D32-0A60-4CE7-BA9E-E9240F796DA6}" name="Ajuste 2" dataDxfId="16"/>
    <tableColumn id="5" xr3:uid="{DEDBB078-2359-44D8-A99F-A7DC03A35AF6}" name="Ajuste 3" dataDxfId="15"/>
    <tableColumn id="6" xr3:uid="{9B01D893-46A9-4B0A-A54E-22617DD8955A}" name="Ajuste 4" dataDxfId="14"/>
    <tableColumn id="18" xr3:uid="{AB48600F-4E19-42DC-A719-9A8AD9B84698}" name="Balance Final" dataDxfId="13">
      <calculatedColumnFormula>Tabla13[[#This Row],[Balance Inicial ]]+Tabla13[[#This Row],[Estrategia]]+Tabla13[[#This Row],[Ajuste 1]]+Tabla13[[#This Row],[Ajuste 2]]+Tabla13[[#This Row],[Ajuste 3]]+Tabla13[[#This Row],[Ajuste 4]]</calculatedColumnFormula>
    </tableColumn>
    <tableColumn id="25" xr3:uid="{21EF5ED0-15E1-4B6E-8A1C-92C0D27412F9}" name="Abono/Retiro" dataDxfId="12"/>
    <tableColumn id="19" xr3:uid="{481EDC30-F0E0-4C13-8BD7-6FC3F7BDF3B8}" name="% día" dataDxfId="11">
      <calculatedColumnFormula>(Tabla13[[#This Row],[Estrategia]]+Tabla13[[#This Row],[Ajuste 1]]+Tabla13[[#This Row],[Ajuste 2]]+Tabla13[[#This Row],[Ajuste 3]]+Tabla13[[#This Row],[Ajuste 4]])/Tabla13[[#This Row],[Balance Inicial ]]*100</calculatedColumnFormula>
    </tableColumn>
    <tableColumn id="7" xr3:uid="{37FC7929-CC89-4264-919C-26D755C48B12}" name="% Acumulado" dataDxfId="10">
      <calculatedColumnFormula>Tabla13[[#This Row],[% día]]</calculatedColumnFormula>
    </tableColumn>
    <tableColumn id="8" xr3:uid="{258B4FD8-869C-4D06-AEC0-881ADBF62A78}" name="Observaciones" dataDxfId="9"/>
    <tableColumn id="2" xr3:uid="{0A710856-9F8D-4D22-98FF-8507E77747D3}" name="Concept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56171D-F1A5-4828-A6FD-02ECC9AAE303}" name="Tabla3" displayName="Tabla3" ref="A1:J271" totalsRowShown="0">
  <autoFilter ref="A1:J271" xr:uid="{2156171D-F1A5-4828-A6FD-02ECC9AAE303}"/>
  <tableColumns count="10">
    <tableColumn id="1" xr3:uid="{AC54A394-CDAC-4B1B-BB40-28A5F8B2333E}" name="Fecha" dataDxfId="7"/>
    <tableColumn id="2" xr3:uid="{BA0D5A4F-1869-4623-8ACF-8E7166F1692C}" name="Dia Semana">
      <calculatedColumnFormula>UPPER(TEXT(A2,"dddd"))</calculatedColumnFormula>
    </tableColumn>
    <tableColumn id="3" xr3:uid="{61EBBFB8-9CD9-4F46-A9E9-3872EB53E421}" name="Dia Comienzo Meta"/>
    <tableColumn id="4" xr3:uid="{DEF367B4-2605-44E9-A966-E51183A30A9E}" name="Ratio" dataDxfId="6">
      <calculatedColumnFormula>_xlfn.XLOOKUP(Tabla3[[#This Row],[Dia Semana]],Riesgo!A:A,Riesgo!B:B)</calculatedColumnFormula>
    </tableColumn>
    <tableColumn id="5" xr3:uid="{42B1688E-B917-4CEA-9A1D-F4D0047D5D52}" name="Etapa"/>
    <tableColumn id="6" xr3:uid="{CD0EA086-03B3-4870-BA83-709EC375B9E7}" name="% Op. Etapa" dataDxfId="5">
      <calculatedColumnFormula>_xlfn.XLOOKUP(Tabla3[[#This Row],[Etapa]],Etapas!A:A,Etapas!B:B)</calculatedColumnFormula>
    </tableColumn>
    <tableColumn id="7" xr3:uid="{AD9AEAAB-65D2-42CD-B37A-280E09265EFE}" name="% Esperado" dataDxfId="4">
      <calculatedColumnFormula>Tabla3[[#This Row],[% Op. Etapa]]*Tabla3[[#This Row],[Ratio]]</calculatedColumnFormula>
    </tableColumn>
    <tableColumn id="8" xr3:uid="{A13F701D-283F-495D-8FD6-00681E1504A2}" name="% Planeado" dataDxfId="3">
      <calculatedColumnFormula>IF(Tabla3[[#This Row],[Noticia]]&gt;0,Tabla3[[#This Row],[% Esperado]]/2,Tabla3[[#This Row],[% Esperado]])</calculatedColumnFormula>
    </tableColumn>
    <tableColumn id="9" xr3:uid="{F8209525-F89B-42F6-97F8-05BDD66A1611}" name="Noticia"/>
    <tableColumn id="10" xr3:uid="{EAB9AF61-4AF0-4E26-8407-039266DEE226}" name="N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70FA24-DF24-43D8-93D9-D514CC1F7599}" name="Tabla4" displayName="Tabla4" ref="A1:B8" totalsRowShown="0">
  <autoFilter ref="A1:B8" xr:uid="{0270FA24-DF24-43D8-93D9-D514CC1F7599}"/>
  <tableColumns count="2">
    <tableColumn id="1" xr3:uid="{85372D3E-3FA5-47F3-BBF4-C87C1A63E8CE}" name="DIA DE LA SEMANA"/>
    <tableColumn id="2" xr3:uid="{569520CF-B8A0-437A-A03B-331CE042FC85}" name="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1767B-1ACF-4E39-852C-4C842012EA80}" name="Tabla1" displayName="Tabla1" ref="A1:I7" totalsRowShown="0">
  <autoFilter ref="A1:I7" xr:uid="{9351767B-1ACF-4E39-852C-4C842012EA80}"/>
  <tableColumns count="9">
    <tableColumn id="1" xr3:uid="{960F446E-BFA4-457E-9A5C-C644287A6FE8}" name="Etapa"/>
    <tableColumn id="9" xr3:uid="{4BA45E59-386E-4AF3-8AA3-25BD6C26B760}" name="% Op" dataDxfId="2"/>
    <tableColumn id="8" xr3:uid="{19AC0693-5D31-44DB-B7CA-C236F7AEB1A4}" name="Dias Minimos"/>
    <tableColumn id="2" xr3:uid="{77A31CBB-26F3-4537-9F50-FEED10EC862C}" name="Dias Meta"/>
    <tableColumn id="3" xr3:uid="{6B24B6E5-C8BA-492C-8753-A2EB20EEDED9}" name="Multiplicador"/>
    <tableColumn id="4" xr3:uid="{EFB293A9-C1AB-4E41-BA32-617BA402D612}" name="Edge"/>
    <tableColumn id="5" xr3:uid="{88EC99F6-4877-4F98-8E5D-0F9EB897E1B7}" name="% a Ganar" dataDxfId="1"/>
    <tableColumn id="6" xr3:uid="{5FDF6862-E9EE-4B81-9E4C-56DA35040979}" name="% Ganancias" dataDxfId="0"/>
    <tableColumn id="7" xr3:uid="{24013E9D-98D1-4774-BFD5-CAC8AE44779F}" name="Capital Pers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1E32-04A7-436B-A289-C562F3791E29}">
  <dimension ref="A1:P9"/>
  <sheetViews>
    <sheetView workbookViewId="0">
      <pane ySplit="1" topLeftCell="A2" activePane="bottomLeft" state="frozen"/>
      <selection pane="bottomLeft" activeCell="M16" sqref="M16"/>
    </sheetView>
  </sheetViews>
  <sheetFormatPr defaultColWidth="0" defaultRowHeight="15"/>
  <cols>
    <col min="1" max="1" width="11.7109375" style="4" customWidth="1"/>
    <col min="2" max="2" width="11" style="5" customWidth="1"/>
    <col min="3" max="3" width="13.5703125" style="3" customWidth="1"/>
    <col min="4" max="4" width="7.5703125" style="3" customWidth="1"/>
    <col min="5" max="5" width="9.140625" style="3" customWidth="1"/>
    <col min="6" max="6" width="12.28515625" style="3" bestFit="1" customWidth="1"/>
    <col min="7" max="10" width="10.7109375" style="3" bestFit="1" customWidth="1"/>
    <col min="11" max="11" width="15.140625" style="3" bestFit="1" customWidth="1"/>
    <col min="12" max="12" width="15.85546875" style="3" bestFit="1" customWidth="1"/>
    <col min="13" max="13" width="9.5703125" style="15" customWidth="1"/>
    <col min="14" max="14" width="15.7109375" style="3" bestFit="1" customWidth="1"/>
    <col min="15" max="16" width="23.5703125" style="3" customWidth="1"/>
  </cols>
  <sheetData>
    <row r="1" spans="1:16" s="1" customFormat="1" ht="42" customHeight="1">
      <c r="A1" s="2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3" t="s">
        <v>12</v>
      </c>
      <c r="N1" s="6" t="s">
        <v>13</v>
      </c>
      <c r="O1" s="6" t="s">
        <v>14</v>
      </c>
      <c r="P1" s="6" t="s">
        <v>15</v>
      </c>
    </row>
    <row r="2" spans="1:16">
      <c r="A2" s="8">
        <v>46307</v>
      </c>
      <c r="B2" s="9" t="s">
        <v>16</v>
      </c>
      <c r="C2" s="10">
        <v>520.02</v>
      </c>
      <c r="D2" s="10" t="s">
        <v>17</v>
      </c>
      <c r="E2" s="10" t="s">
        <v>18</v>
      </c>
      <c r="F2" s="10">
        <v>4.26</v>
      </c>
      <c r="G2" s="10"/>
      <c r="H2" s="10"/>
      <c r="I2" s="10"/>
      <c r="J2" s="10"/>
      <c r="K2" s="10">
        <f>Tabla13[[#This Row],[Balance Inicial ]]+Tabla13[[#This Row],[Estrategia]]+Tabla13[[#This Row],[Ajuste 1]]+Tabla13[[#This Row],[Ajuste 2]]+Tabla13[[#This Row],[Ajuste 3]]+Tabla13[[#This Row],[Ajuste 4]]</f>
        <v>524.28</v>
      </c>
      <c r="L2" s="10"/>
      <c r="M2" s="14">
        <f>(Tabla13[[#This Row],[Estrategia]]+Tabla13[[#This Row],[Ajuste 1]]+Tabla13[[#This Row],[Ajuste 2]]+Tabla13[[#This Row],[Ajuste 3]]+Tabla13[[#This Row],[Ajuste 4]])/Tabla13[[#This Row],[Balance Inicial ]]*100</f>
        <v>0.81919926156686274</v>
      </c>
      <c r="N2" s="12">
        <v>0.82</v>
      </c>
      <c r="O2" s="11" t="s">
        <v>19</v>
      </c>
      <c r="P2" s="11" t="s">
        <v>20</v>
      </c>
    </row>
    <row r="3" spans="1:16">
      <c r="A3" s="8">
        <v>46308</v>
      </c>
      <c r="B3" s="9" t="s">
        <v>16</v>
      </c>
      <c r="C3" s="10">
        <f>K2+L2</f>
        <v>524.28</v>
      </c>
      <c r="D3" s="10" t="s">
        <v>21</v>
      </c>
      <c r="E3" s="10" t="s">
        <v>18</v>
      </c>
      <c r="F3" s="10">
        <v>0</v>
      </c>
      <c r="G3" s="10"/>
      <c r="H3" s="10"/>
      <c r="I3" s="10"/>
      <c r="J3" s="10"/>
      <c r="K3" s="10">
        <f>Tabla13[[#This Row],[Balance Inicial ]]+Tabla13[[#This Row],[Estrategia]]+Tabla13[[#This Row],[Ajuste 1]]+Tabla13[[#This Row],[Ajuste 2]]+Tabla13[[#This Row],[Ajuste 3]]+Tabla13[[#This Row],[Ajuste 4]]</f>
        <v>524.28</v>
      </c>
      <c r="L3" s="10"/>
      <c r="M3" s="14">
        <f>(Tabla13[[#This Row],[Estrategia]]+Tabla13[[#This Row],[Ajuste 1]]+Tabla13[[#This Row],[Ajuste 2]]+Tabla13[[#This Row],[Ajuste 3]]+Tabla13[[#This Row],[Ajuste 4]])/Tabla13[[#This Row],[Balance Inicial ]]*100</f>
        <v>0</v>
      </c>
      <c r="N3" s="12">
        <f>Tabla13[[#This Row],[% día]]+N2</f>
        <v>0.82</v>
      </c>
      <c r="O3" s="11" t="s">
        <v>22</v>
      </c>
      <c r="P3" s="11" t="s">
        <v>23</v>
      </c>
    </row>
    <row r="4" spans="1:16">
      <c r="A4" s="8">
        <v>46309</v>
      </c>
      <c r="B4" s="9" t="s">
        <v>16</v>
      </c>
      <c r="C4" s="10">
        <f>K3+L3</f>
        <v>524.28</v>
      </c>
      <c r="D4" s="10" t="s">
        <v>21</v>
      </c>
      <c r="E4" s="10" t="s">
        <v>18</v>
      </c>
      <c r="F4" s="10"/>
      <c r="G4" s="10"/>
      <c r="H4" s="10"/>
      <c r="I4" s="10"/>
      <c r="J4" s="10"/>
      <c r="K4" s="10">
        <f>Tabla13[[#This Row],[Balance Inicial ]]+Tabla13[[#This Row],[Estrategia]]+Tabla13[[#This Row],[Ajuste 1]]+Tabla13[[#This Row],[Ajuste 2]]+Tabla13[[#This Row],[Ajuste 3]]+Tabla13[[#This Row],[Ajuste 4]]</f>
        <v>524.28</v>
      </c>
      <c r="L4" s="10"/>
      <c r="M4" s="14">
        <f>(Tabla13[[#This Row],[Estrategia]]+Tabla13[[#This Row],[Ajuste 1]]+Tabla13[[#This Row],[Ajuste 2]]+Tabla13[[#This Row],[Ajuste 3]]+Tabla13[[#This Row],[Ajuste 4]])/Tabla13[[#This Row],[Balance Inicial ]]*100</f>
        <v>0</v>
      </c>
      <c r="N4" s="12">
        <f>Tabla13[[#This Row],[% día]]+N3</f>
        <v>0.82</v>
      </c>
      <c r="O4" s="11" t="s">
        <v>24</v>
      </c>
      <c r="P4" s="11" t="s">
        <v>25</v>
      </c>
    </row>
    <row r="5" spans="1:16">
      <c r="A5" s="8">
        <v>46310</v>
      </c>
      <c r="B5" s="9" t="s">
        <v>16</v>
      </c>
      <c r="C5" s="10">
        <f>K4+L4</f>
        <v>524.28</v>
      </c>
      <c r="D5" s="10" t="s">
        <v>21</v>
      </c>
      <c r="E5" s="10" t="s">
        <v>18</v>
      </c>
      <c r="F5" s="10"/>
      <c r="G5" s="10"/>
      <c r="H5" s="10"/>
      <c r="I5" s="10"/>
      <c r="J5" s="10"/>
      <c r="K5" s="10">
        <f>Tabla13[[#This Row],[Balance Inicial ]]+Tabla13[[#This Row],[Estrategia]]+Tabla13[[#This Row],[Ajuste 1]]+Tabla13[[#This Row],[Ajuste 2]]+Tabla13[[#This Row],[Ajuste 3]]+Tabla13[[#This Row],[Ajuste 4]]</f>
        <v>524.28</v>
      </c>
      <c r="L5" s="10"/>
      <c r="M5" s="14">
        <f>(Tabla13[[#This Row],[Estrategia]]+Tabla13[[#This Row],[Ajuste 1]]+Tabla13[[#This Row],[Ajuste 2]]+Tabla13[[#This Row],[Ajuste 3]]+Tabla13[[#This Row],[Ajuste 4]])/Tabla13[[#This Row],[Balance Inicial ]]*100</f>
        <v>0</v>
      </c>
      <c r="N5" s="12">
        <f>Tabla13[[#This Row],[% día]]+N4</f>
        <v>0.82</v>
      </c>
      <c r="O5" s="11" t="s">
        <v>26</v>
      </c>
      <c r="P5" s="11" t="s">
        <v>27</v>
      </c>
    </row>
    <row r="6" spans="1:16">
      <c r="A6" s="8">
        <v>46311</v>
      </c>
      <c r="B6" s="9" t="s">
        <v>16</v>
      </c>
      <c r="C6" s="10">
        <f>K5+L5</f>
        <v>524.28</v>
      </c>
      <c r="D6" s="10" t="s">
        <v>17</v>
      </c>
      <c r="E6" s="10" t="s">
        <v>18</v>
      </c>
      <c r="F6" s="10"/>
      <c r="G6" s="10"/>
      <c r="H6" s="10"/>
      <c r="I6" s="10"/>
      <c r="J6" s="10"/>
      <c r="K6" s="10">
        <f>Tabla13[[#This Row],[Balance Inicial ]]+Tabla13[[#This Row],[Estrategia]]+Tabla13[[#This Row],[Ajuste 1]]+Tabla13[[#This Row],[Ajuste 2]]+Tabla13[[#This Row],[Ajuste 3]]+Tabla13[[#This Row],[Ajuste 4]]</f>
        <v>524.28</v>
      </c>
      <c r="L6" s="10"/>
      <c r="M6" s="14">
        <f>(Tabla13[[#This Row],[Estrategia]]+Tabla13[[#This Row],[Ajuste 1]]+Tabla13[[#This Row],[Ajuste 2]]+Tabla13[[#This Row],[Ajuste 3]]+Tabla13[[#This Row],[Ajuste 4]])/Tabla13[[#This Row],[Balance Inicial ]]*100</f>
        <v>0</v>
      </c>
      <c r="N6" s="12">
        <f>Tabla13[[#This Row],[% día]]+N5</f>
        <v>0.82</v>
      </c>
      <c r="O6" s="11" t="s">
        <v>28</v>
      </c>
      <c r="P6" s="11" t="s">
        <v>29</v>
      </c>
    </row>
    <row r="7" spans="1:16">
      <c r="A7" s="8">
        <v>46314</v>
      </c>
      <c r="B7" s="9" t="s">
        <v>16</v>
      </c>
      <c r="C7" s="10">
        <f>K6+L6</f>
        <v>524.28</v>
      </c>
      <c r="D7" s="10" t="s">
        <v>21</v>
      </c>
      <c r="E7" s="10" t="s">
        <v>18</v>
      </c>
      <c r="F7" s="10">
        <v>-5.73</v>
      </c>
      <c r="G7" s="10">
        <v>0</v>
      </c>
      <c r="H7" s="10">
        <v>0</v>
      </c>
      <c r="I7" s="10"/>
      <c r="J7" s="10"/>
      <c r="K7" s="10">
        <f>Tabla13[[#This Row],[Balance Inicial ]]+Tabla13[[#This Row],[Estrategia]]+Tabla13[[#This Row],[Ajuste 1]]+Tabla13[[#This Row],[Ajuste 2]]+Tabla13[[#This Row],[Ajuste 3]]+Tabla13[[#This Row],[Ajuste 4]]</f>
        <v>518.54999999999995</v>
      </c>
      <c r="L7" s="10"/>
      <c r="M7" s="14">
        <f>(Tabla13[[#This Row],[Estrategia]]+Tabla13[[#This Row],[Ajuste 1]]+Tabla13[[#This Row],[Ajuste 2]]+Tabla13[[#This Row],[Ajuste 3]]+Tabla13[[#This Row],[Ajuste 4]])/Tabla13[[#This Row],[Balance Inicial ]]*100</f>
        <v>-1.0929274433508813</v>
      </c>
      <c r="N7" s="12">
        <f>Tabla13[[#This Row],[% día]]+N6</f>
        <v>-0.27292744335088137</v>
      </c>
      <c r="O7" s="11" t="s">
        <v>30</v>
      </c>
      <c r="P7" s="11" t="s">
        <v>31</v>
      </c>
    </row>
    <row r="8" spans="1:16">
      <c r="A8" s="8">
        <v>46315</v>
      </c>
      <c r="B8" s="9" t="s">
        <v>16</v>
      </c>
      <c r="C8" s="10">
        <f>K7+L7</f>
        <v>518.54999999999995</v>
      </c>
      <c r="D8" s="10" t="s">
        <v>17</v>
      </c>
      <c r="E8" s="10" t="s">
        <v>18</v>
      </c>
      <c r="F8" s="10"/>
      <c r="G8" s="10">
        <v>0</v>
      </c>
      <c r="H8" s="10">
        <v>-1.96</v>
      </c>
      <c r="I8" s="10">
        <v>2.5</v>
      </c>
      <c r="J8" s="10"/>
      <c r="K8" s="10">
        <f>Tabla13[[#This Row],[Balance Inicial ]]+Tabla13[[#This Row],[Estrategia]]+Tabla13[[#This Row],[Ajuste 1]]+Tabla13[[#This Row],[Ajuste 2]]+Tabla13[[#This Row],[Ajuste 3]]+Tabla13[[#This Row],[Ajuste 4]]</f>
        <v>519.08999999999992</v>
      </c>
      <c r="L8" s="10"/>
      <c r="M8" s="14">
        <f>(Tabla13[[#This Row],[Estrategia]]+Tabla13[[#This Row],[Ajuste 1]]+Tabla13[[#This Row],[Ajuste 2]]+Tabla13[[#This Row],[Ajuste 3]]+Tabla13[[#This Row],[Ajuste 4]])/Tabla13[[#This Row],[Balance Inicial ]]*100</f>
        <v>0.10413653456754413</v>
      </c>
      <c r="N8" s="12">
        <f>Tabla13[[#This Row],[% día]]+N7</f>
        <v>-0.16879090878333725</v>
      </c>
      <c r="O8" s="11" t="s">
        <v>32</v>
      </c>
      <c r="P8" s="11" t="s">
        <v>33</v>
      </c>
    </row>
    <row r="9" spans="1:16">
      <c r="A9" s="8">
        <v>46316</v>
      </c>
      <c r="B9" s="9" t="s">
        <v>16</v>
      </c>
      <c r="C9" s="10">
        <f>K8+L8</f>
        <v>519.08999999999992</v>
      </c>
      <c r="D9" s="10" t="s">
        <v>21</v>
      </c>
      <c r="E9" s="10" t="s">
        <v>34</v>
      </c>
      <c r="F9" s="10"/>
      <c r="G9" s="10">
        <v>0</v>
      </c>
      <c r="H9" s="10">
        <v>0.95</v>
      </c>
      <c r="I9" s="10"/>
      <c r="J9" s="10"/>
      <c r="K9" s="10">
        <f>Tabla13[[#This Row],[Balance Inicial ]]+Tabla13[[#This Row],[Estrategia]]+Tabla13[[#This Row],[Ajuste 1]]+Tabla13[[#This Row],[Ajuste 2]]+Tabla13[[#This Row],[Ajuste 3]]+Tabla13[[#This Row],[Ajuste 4]]</f>
        <v>520.04</v>
      </c>
      <c r="L9" s="10"/>
      <c r="M9" s="14">
        <f>(Tabla13[[#This Row],[Estrategia]]+Tabla13[[#This Row],[Ajuste 1]]+Tabla13[[#This Row],[Ajuste 2]]+Tabla13[[#This Row],[Ajuste 3]]+Tabla13[[#This Row],[Ajuste 4]])/Tabla13[[#This Row],[Balance Inicial ]]*100</f>
        <v>0.1830125797067946</v>
      </c>
      <c r="N9" s="12">
        <f>Tabla13[[#This Row],[% día]]</f>
        <v>0.1830125797067946</v>
      </c>
      <c r="O9" s="11" t="s">
        <v>35</v>
      </c>
      <c r="P9" s="11" t="s">
        <v>36</v>
      </c>
    </row>
  </sheetData>
  <conditionalFormatting sqref="M1:P1048576">
    <cfRule type="cellIs" dxfId="25" priority="1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951085-2B89-4222-A00A-EC824C40CDB9}">
          <x14:formula1>
            <xm:f>Etapas!$A$2:$A$7</xm:f>
          </x14:formula1>
          <xm:sqref>B2:B9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044E-337F-4736-9478-06CE436A3C4E}">
  <dimension ref="A1:J271"/>
  <sheetViews>
    <sheetView tabSelected="1" topLeftCell="A50" workbookViewId="0">
      <selection activeCell="E17" sqref="E17:E72"/>
    </sheetView>
  </sheetViews>
  <sheetFormatPr defaultRowHeight="15"/>
  <cols>
    <col min="1" max="1" width="11.42578125" style="18" bestFit="1" customWidth="1"/>
    <col min="2" max="2" width="9.28515625" customWidth="1"/>
    <col min="3" max="3" width="6.140625" customWidth="1"/>
    <col min="4" max="4" width="4.85546875" customWidth="1"/>
    <col min="5" max="5" width="7.28515625" customWidth="1"/>
    <col min="6" max="7" width="7.28515625" style="17" customWidth="1"/>
    <col min="8" max="8" width="6" style="17" customWidth="1"/>
    <col min="9" max="9" width="5.28515625" customWidth="1"/>
    <col min="10" max="10" width="18.28515625" customWidth="1"/>
  </cols>
  <sheetData>
    <row r="1" spans="1:10">
      <c r="A1" s="18" t="s">
        <v>0</v>
      </c>
      <c r="B1" t="s">
        <v>37</v>
      </c>
      <c r="C1" t="s">
        <v>38</v>
      </c>
      <c r="D1" t="s">
        <v>39</v>
      </c>
      <c r="E1" t="s">
        <v>40</v>
      </c>
      <c r="F1" s="17" t="s">
        <v>41</v>
      </c>
      <c r="G1" s="17" t="s">
        <v>42</v>
      </c>
      <c r="H1" s="17" t="s">
        <v>43</v>
      </c>
      <c r="I1" t="s">
        <v>44</v>
      </c>
      <c r="J1" t="s">
        <v>45</v>
      </c>
    </row>
    <row r="2" spans="1:10">
      <c r="A2" s="18">
        <v>46317</v>
      </c>
      <c r="B2" t="str">
        <f t="shared" ref="B2:B65" si="0">UPPER(TEXT(A2,"dddd"))</f>
        <v>JUEVES</v>
      </c>
      <c r="C2">
        <v>16</v>
      </c>
      <c r="D2">
        <f>_xlfn.XLOOKUP(Tabla3[[#This Row],[Dia Semana]],Riesgo!A:A,Riesgo!B:B)</f>
        <v>2</v>
      </c>
      <c r="E2" t="s">
        <v>16</v>
      </c>
      <c r="F2" s="17">
        <f>_xlfn.XLOOKUP(Tabla3[[#This Row],[Etapa]],Etapas!A:A,Etapas!B:B)</f>
        <v>0.02</v>
      </c>
      <c r="G2" s="17">
        <f>Tabla3[[#This Row],[% Op. Etapa]]*Tabla3[[#This Row],[Ratio]]</f>
        <v>0.04</v>
      </c>
      <c r="H2" s="17">
        <f>IF(Tabla3[[#This Row],[Noticia]]&gt;0,Tabla3[[#This Row],[% Esperado]]/2,Tabla3[[#This Row],[% Esperado]])</f>
        <v>0.04</v>
      </c>
      <c r="I2">
        <v>0</v>
      </c>
    </row>
    <row r="3" spans="1:10">
      <c r="A3" s="18">
        <v>46318</v>
      </c>
      <c r="B3" t="str">
        <f t="shared" si="0"/>
        <v>VIERNES</v>
      </c>
      <c r="C3">
        <v>17</v>
      </c>
      <c r="D3">
        <f>_xlfn.XLOOKUP(Tabla3[[#This Row],[Dia Semana]],Riesgo!A:A,Riesgo!B:B)</f>
        <v>1</v>
      </c>
      <c r="E3" t="s">
        <v>16</v>
      </c>
      <c r="F3" s="17">
        <f>_xlfn.XLOOKUP(Tabla3[[#This Row],[Etapa]],Etapas!A:A,Etapas!B:B)</f>
        <v>0.02</v>
      </c>
      <c r="G3" s="17">
        <f>Tabla3[[#This Row],[% Op. Etapa]]*Tabla3[[#This Row],[Ratio]]</f>
        <v>0.02</v>
      </c>
      <c r="H3" s="17">
        <f>IF(Tabla3[[#This Row],[Noticia]]&gt;0,Tabla3[[#This Row],[% Esperado]]/2,Tabla3[[#This Row],[% Esperado]])</f>
        <v>0.02</v>
      </c>
      <c r="I3">
        <v>0</v>
      </c>
      <c r="J3" s="19"/>
    </row>
    <row r="4" spans="1:10">
      <c r="A4" s="18">
        <v>46319</v>
      </c>
      <c r="B4" t="str">
        <f t="shared" si="0"/>
        <v>SÁBADO</v>
      </c>
      <c r="C4">
        <v>18</v>
      </c>
      <c r="D4">
        <f>_xlfn.XLOOKUP(Tabla3[[#This Row],[Dia Semana]],Riesgo!A:A,Riesgo!B:B)</f>
        <v>0</v>
      </c>
      <c r="E4" t="s">
        <v>16</v>
      </c>
      <c r="F4" s="17">
        <f>_xlfn.XLOOKUP(Tabla3[[#This Row],[Etapa]],Etapas!A:A,Etapas!B:B)</f>
        <v>0.02</v>
      </c>
      <c r="G4" s="17">
        <f>Tabla3[[#This Row],[% Op. Etapa]]*Tabla3[[#This Row],[Ratio]]</f>
        <v>0</v>
      </c>
      <c r="H4" s="17">
        <f>IF(Tabla3[[#This Row],[Noticia]]&gt;0,Tabla3[[#This Row],[% Esperado]]/2,Tabla3[[#This Row],[% Esperado]])</f>
        <v>0</v>
      </c>
      <c r="I4">
        <v>0</v>
      </c>
    </row>
    <row r="5" spans="1:10">
      <c r="A5" s="18">
        <v>46320</v>
      </c>
      <c r="B5" t="str">
        <f t="shared" si="0"/>
        <v>DOMINGO</v>
      </c>
      <c r="C5">
        <v>19</v>
      </c>
      <c r="D5">
        <f>_xlfn.XLOOKUP(Tabla3[[#This Row],[Dia Semana]],Riesgo!A:A,Riesgo!B:B)</f>
        <v>0</v>
      </c>
      <c r="E5" t="s">
        <v>16</v>
      </c>
      <c r="F5" s="17">
        <f>_xlfn.XLOOKUP(Tabla3[[#This Row],[Etapa]],Etapas!A:A,Etapas!B:B)</f>
        <v>0.02</v>
      </c>
      <c r="G5" s="17">
        <f>Tabla3[[#This Row],[% Op. Etapa]]*Tabla3[[#This Row],[Ratio]]</f>
        <v>0</v>
      </c>
      <c r="H5" s="17">
        <f>IF(Tabla3[[#This Row],[Noticia]]&gt;0,Tabla3[[#This Row],[% Esperado]]/2,Tabla3[[#This Row],[% Esperado]])</f>
        <v>0</v>
      </c>
      <c r="I5">
        <v>0</v>
      </c>
    </row>
    <row r="6" spans="1:10">
      <c r="A6" s="18">
        <v>46321</v>
      </c>
      <c r="B6" t="str">
        <f t="shared" si="0"/>
        <v>LUNES</v>
      </c>
      <c r="C6">
        <v>20</v>
      </c>
      <c r="D6">
        <f>_xlfn.XLOOKUP(Tabla3[[#This Row],[Dia Semana]],Riesgo!A:A,Riesgo!B:B)</f>
        <v>2</v>
      </c>
      <c r="E6" t="s">
        <v>16</v>
      </c>
      <c r="F6" s="17">
        <f>_xlfn.XLOOKUP(Tabla3[[#This Row],[Etapa]],Etapas!A:A,Etapas!B:B)</f>
        <v>0.02</v>
      </c>
      <c r="G6" s="17">
        <f>Tabla3[[#This Row],[% Op. Etapa]]*Tabla3[[#This Row],[Ratio]]</f>
        <v>0.04</v>
      </c>
      <c r="H6" s="17">
        <f>IF(Tabla3[[#This Row],[Noticia]]&gt;0,Tabla3[[#This Row],[% Esperado]]/2,Tabla3[[#This Row],[% Esperado]])</f>
        <v>0.04</v>
      </c>
      <c r="I6">
        <v>0</v>
      </c>
    </row>
    <row r="7" spans="1:10">
      <c r="A7" s="18">
        <v>46322</v>
      </c>
      <c r="B7" t="str">
        <f t="shared" si="0"/>
        <v>MARTES</v>
      </c>
      <c r="C7">
        <v>21</v>
      </c>
      <c r="D7">
        <f>_xlfn.XLOOKUP(Tabla3[[#This Row],[Dia Semana]],Riesgo!A:A,Riesgo!B:B)</f>
        <v>2</v>
      </c>
      <c r="E7" t="s">
        <v>16</v>
      </c>
      <c r="F7" s="17">
        <f>_xlfn.XLOOKUP(Tabla3[[#This Row],[Etapa]],Etapas!A:A,Etapas!B:B)</f>
        <v>0.02</v>
      </c>
      <c r="G7" s="17">
        <f>Tabla3[[#This Row],[% Op. Etapa]]*Tabla3[[#This Row],[Ratio]]</f>
        <v>0.04</v>
      </c>
      <c r="H7" s="17">
        <f>IF(Tabla3[[#This Row],[Noticia]]&gt;0,Tabla3[[#This Row],[% Esperado]]/2,Tabla3[[#This Row],[% Esperado]])</f>
        <v>0.04</v>
      </c>
      <c r="I7">
        <v>0</v>
      </c>
    </row>
    <row r="8" spans="1:10">
      <c r="A8" s="18">
        <v>46323</v>
      </c>
      <c r="B8" t="str">
        <f t="shared" si="0"/>
        <v>MIÉRCOLES</v>
      </c>
      <c r="C8">
        <v>22</v>
      </c>
      <c r="D8">
        <f>_xlfn.XLOOKUP(Tabla3[[#This Row],[Dia Semana]],Riesgo!A:A,Riesgo!B:B)</f>
        <v>1</v>
      </c>
      <c r="E8" t="s">
        <v>16</v>
      </c>
      <c r="F8" s="17">
        <f>_xlfn.XLOOKUP(Tabla3[[#This Row],[Etapa]],Etapas!A:A,Etapas!B:B)</f>
        <v>0.02</v>
      </c>
      <c r="G8" s="17">
        <f>Tabla3[[#This Row],[% Op. Etapa]]*Tabla3[[#This Row],[Ratio]]</f>
        <v>0.02</v>
      </c>
      <c r="H8" s="17">
        <f>IF(Tabla3[[#This Row],[Noticia]]&gt;0,Tabla3[[#This Row],[% Esperado]]/2,Tabla3[[#This Row],[% Esperado]])</f>
        <v>0.01</v>
      </c>
      <c r="I8">
        <v>1</v>
      </c>
      <c r="J8" t="s">
        <v>46</v>
      </c>
    </row>
    <row r="9" spans="1:10">
      <c r="A9" s="18">
        <v>46324</v>
      </c>
      <c r="B9" t="str">
        <f t="shared" si="0"/>
        <v>JUEVES</v>
      </c>
      <c r="C9">
        <v>23</v>
      </c>
      <c r="D9">
        <f>_xlfn.XLOOKUP(Tabla3[[#This Row],[Dia Semana]],Riesgo!A:A,Riesgo!B:B)</f>
        <v>2</v>
      </c>
      <c r="E9" t="s">
        <v>16</v>
      </c>
      <c r="F9" s="17">
        <f>_xlfn.XLOOKUP(Tabla3[[#This Row],[Etapa]],Etapas!A:A,Etapas!B:B)</f>
        <v>0.02</v>
      </c>
      <c r="G9" s="17">
        <f>Tabla3[[#This Row],[% Op. Etapa]]*Tabla3[[#This Row],[Ratio]]</f>
        <v>0.04</v>
      </c>
      <c r="H9" s="17">
        <f>IF(Tabla3[[#This Row],[Noticia]]&gt;0,Tabla3[[#This Row],[% Esperado]]/2,Tabla3[[#This Row],[% Esperado]])</f>
        <v>0.02</v>
      </c>
      <c r="I9">
        <v>1</v>
      </c>
      <c r="J9" t="s">
        <v>47</v>
      </c>
    </row>
    <row r="10" spans="1:10">
      <c r="A10" s="18">
        <v>46325</v>
      </c>
      <c r="B10" t="str">
        <f t="shared" si="0"/>
        <v>VIERNES</v>
      </c>
      <c r="C10">
        <v>24</v>
      </c>
      <c r="D10">
        <f>_xlfn.XLOOKUP(Tabla3[[#This Row],[Dia Semana]],Riesgo!A:A,Riesgo!B:B)</f>
        <v>1</v>
      </c>
      <c r="E10" t="s">
        <v>16</v>
      </c>
      <c r="F10" s="17">
        <f>_xlfn.XLOOKUP(Tabla3[[#This Row],[Etapa]],Etapas!A:A,Etapas!B:B)</f>
        <v>0.02</v>
      </c>
      <c r="G10" s="17">
        <f>Tabla3[[#This Row],[% Op. Etapa]]*Tabla3[[#This Row],[Ratio]]</f>
        <v>0.02</v>
      </c>
      <c r="H10" s="17">
        <f>IF(Tabla3[[#This Row],[Noticia]]&gt;0,Tabla3[[#This Row],[% Esperado]]/2,Tabla3[[#This Row],[% Esperado]])</f>
        <v>0.02</v>
      </c>
      <c r="I10">
        <v>0</v>
      </c>
    </row>
    <row r="11" spans="1:10">
      <c r="A11" s="18">
        <v>46326</v>
      </c>
      <c r="B11" t="str">
        <f t="shared" si="0"/>
        <v>SÁBADO</v>
      </c>
      <c r="C11">
        <v>25</v>
      </c>
      <c r="D11">
        <f>_xlfn.XLOOKUP(Tabla3[[#This Row],[Dia Semana]],Riesgo!A:A,Riesgo!B:B)</f>
        <v>0</v>
      </c>
      <c r="E11" t="s">
        <v>16</v>
      </c>
      <c r="F11" s="17">
        <f>_xlfn.XLOOKUP(Tabla3[[#This Row],[Etapa]],Etapas!A:A,Etapas!B:B)</f>
        <v>0.02</v>
      </c>
      <c r="G11" s="17">
        <f>Tabla3[[#This Row],[% Op. Etapa]]*Tabla3[[#This Row],[Ratio]]</f>
        <v>0</v>
      </c>
      <c r="H11" s="17">
        <f>IF(Tabla3[[#This Row],[Noticia]]&gt;0,Tabla3[[#This Row],[% Esperado]]/2,Tabla3[[#This Row],[% Esperado]])</f>
        <v>0</v>
      </c>
      <c r="I11">
        <v>0</v>
      </c>
    </row>
    <row r="12" spans="1:10">
      <c r="A12" s="18">
        <v>46327</v>
      </c>
      <c r="B12" t="str">
        <f t="shared" si="0"/>
        <v>DOMINGO</v>
      </c>
      <c r="C12">
        <v>26</v>
      </c>
      <c r="D12">
        <f>_xlfn.XLOOKUP(Tabla3[[#This Row],[Dia Semana]],Riesgo!A:A,Riesgo!B:B)</f>
        <v>0</v>
      </c>
      <c r="E12" t="s">
        <v>16</v>
      </c>
      <c r="F12" s="17">
        <f>_xlfn.XLOOKUP(Tabla3[[#This Row],[Etapa]],Etapas!A:A,Etapas!B:B)</f>
        <v>0.02</v>
      </c>
      <c r="G12" s="17">
        <f>Tabla3[[#This Row],[% Op. Etapa]]*Tabla3[[#This Row],[Ratio]]</f>
        <v>0</v>
      </c>
      <c r="H12" s="17">
        <f>IF(Tabla3[[#This Row],[Noticia]]&gt;0,Tabla3[[#This Row],[% Esperado]]/2,Tabla3[[#This Row],[% Esperado]])</f>
        <v>0</v>
      </c>
      <c r="I12">
        <v>0</v>
      </c>
    </row>
    <row r="13" spans="1:10">
      <c r="A13" s="18">
        <v>46328</v>
      </c>
      <c r="B13" t="str">
        <f t="shared" si="0"/>
        <v>LUNES</v>
      </c>
      <c r="C13">
        <v>27</v>
      </c>
      <c r="D13">
        <f>_xlfn.XLOOKUP(Tabla3[[#This Row],[Dia Semana]],Riesgo!A:A,Riesgo!B:B)</f>
        <v>2</v>
      </c>
      <c r="E13" t="s">
        <v>16</v>
      </c>
      <c r="F13" s="17">
        <f>_xlfn.XLOOKUP(Tabla3[[#This Row],[Etapa]],Etapas!A:A,Etapas!B:B)</f>
        <v>0.02</v>
      </c>
      <c r="G13" s="17">
        <f>Tabla3[[#This Row],[% Op. Etapa]]*Tabla3[[#This Row],[Ratio]]</f>
        <v>0.04</v>
      </c>
      <c r="H13" s="17">
        <f>IF(Tabla3[[#This Row],[Noticia]]&gt;0,Tabla3[[#This Row],[% Esperado]]/2,Tabla3[[#This Row],[% Esperado]])</f>
        <v>0.04</v>
      </c>
      <c r="I13">
        <v>0</v>
      </c>
    </row>
    <row r="14" spans="1:10">
      <c r="A14" s="18">
        <v>46329</v>
      </c>
      <c r="B14" t="str">
        <f t="shared" si="0"/>
        <v>MARTES</v>
      </c>
      <c r="C14">
        <v>28</v>
      </c>
      <c r="D14">
        <f>_xlfn.XLOOKUP(Tabla3[[#This Row],[Dia Semana]],Riesgo!A:A,Riesgo!B:B)</f>
        <v>2</v>
      </c>
      <c r="E14" t="s">
        <v>16</v>
      </c>
      <c r="F14" s="17">
        <f>_xlfn.XLOOKUP(Tabla3[[#This Row],[Etapa]],Etapas!A:A,Etapas!B:B)</f>
        <v>0.02</v>
      </c>
      <c r="G14" s="17">
        <f>Tabla3[[#This Row],[% Op. Etapa]]*Tabla3[[#This Row],[Ratio]]</f>
        <v>0.04</v>
      </c>
      <c r="H14" s="17">
        <f>IF(Tabla3[[#This Row],[Noticia]]&gt;0,Tabla3[[#This Row],[% Esperado]]/2,Tabla3[[#This Row],[% Esperado]])</f>
        <v>0.02</v>
      </c>
      <c r="I14">
        <v>1</v>
      </c>
      <c r="J14" t="s">
        <v>48</v>
      </c>
    </row>
    <row r="15" spans="1:10">
      <c r="A15" s="18">
        <v>46330</v>
      </c>
      <c r="B15" t="str">
        <f t="shared" si="0"/>
        <v>MIÉRCOLES</v>
      </c>
      <c r="C15">
        <v>29</v>
      </c>
      <c r="D15">
        <f>_xlfn.XLOOKUP(Tabla3[[#This Row],[Dia Semana]],Riesgo!A:A,Riesgo!B:B)</f>
        <v>1</v>
      </c>
      <c r="E15" t="s">
        <v>16</v>
      </c>
      <c r="F15" s="17">
        <f>_xlfn.XLOOKUP(Tabla3[[#This Row],[Etapa]],Etapas!A:A,Etapas!B:B)</f>
        <v>0.02</v>
      </c>
      <c r="G15" s="17">
        <f>Tabla3[[#This Row],[% Op. Etapa]]*Tabla3[[#This Row],[Ratio]]</f>
        <v>0.02</v>
      </c>
      <c r="H15" s="17">
        <f>IF(Tabla3[[#This Row],[Noticia]]&gt;0,Tabla3[[#This Row],[% Esperado]]/2,Tabla3[[#This Row],[% Esperado]])</f>
        <v>0.02</v>
      </c>
      <c r="I15">
        <v>0</v>
      </c>
    </row>
    <row r="16" spans="1:10">
      <c r="A16" s="18">
        <v>46331</v>
      </c>
      <c r="B16" t="str">
        <f t="shared" si="0"/>
        <v>JUEVES</v>
      </c>
      <c r="C16">
        <v>30</v>
      </c>
      <c r="D16">
        <f>_xlfn.XLOOKUP(Tabla3[[#This Row],[Dia Semana]],Riesgo!A:A,Riesgo!B:B)</f>
        <v>2</v>
      </c>
      <c r="E16" t="s">
        <v>16</v>
      </c>
      <c r="F16" s="17">
        <f>_xlfn.XLOOKUP(Tabla3[[#This Row],[Etapa]],Etapas!A:A,Etapas!B:B)</f>
        <v>0.02</v>
      </c>
      <c r="G16" s="17">
        <f>Tabla3[[#This Row],[% Op. Etapa]]*Tabla3[[#This Row],[Ratio]]</f>
        <v>0.04</v>
      </c>
      <c r="H16" s="17">
        <f>IF(Tabla3[[#This Row],[Noticia]]&gt;0,Tabla3[[#This Row],[% Esperado]]/2,Tabla3[[#This Row],[% Esperado]])</f>
        <v>0.04</v>
      </c>
      <c r="I16">
        <v>0</v>
      </c>
    </row>
    <row r="17" spans="1:10">
      <c r="A17" s="18">
        <v>46332</v>
      </c>
      <c r="B17" t="str">
        <f t="shared" si="0"/>
        <v>VIERNES</v>
      </c>
      <c r="C17">
        <v>31</v>
      </c>
      <c r="D17">
        <f>_xlfn.XLOOKUP(Tabla3[[#This Row],[Dia Semana]],Riesgo!A:A,Riesgo!B:B)</f>
        <v>1</v>
      </c>
      <c r="E17" t="s">
        <v>49</v>
      </c>
      <c r="F17" s="17">
        <f>_xlfn.XLOOKUP(Tabla3[[#This Row],[Etapa]],Etapas!A:A,Etapas!B:B)</f>
        <v>5.0000000000000001E-3</v>
      </c>
      <c r="G17" s="17">
        <f>Tabla3[[#This Row],[% Op. Etapa]]*Tabla3[[#This Row],[Ratio]]</f>
        <v>5.0000000000000001E-3</v>
      </c>
      <c r="H17" s="17">
        <f>IF(Tabla3[[#This Row],[Noticia]]&gt;0,Tabla3[[#This Row],[% Esperado]]/2,Tabla3[[#This Row],[% Esperado]])</f>
        <v>2.5000000000000001E-3</v>
      </c>
      <c r="I17">
        <v>1</v>
      </c>
      <c r="J17" t="s">
        <v>50</v>
      </c>
    </row>
    <row r="18" spans="1:10">
      <c r="A18" s="18">
        <v>46333</v>
      </c>
      <c r="B18" t="str">
        <f t="shared" si="0"/>
        <v>SÁBADO</v>
      </c>
      <c r="C18">
        <v>32</v>
      </c>
      <c r="D18">
        <f>_xlfn.XLOOKUP(Tabla3[[#This Row],[Dia Semana]],Riesgo!A:A,Riesgo!B:B)</f>
        <v>0</v>
      </c>
      <c r="E18" t="s">
        <v>49</v>
      </c>
      <c r="F18" s="17">
        <f>_xlfn.XLOOKUP(Tabla3[[#This Row],[Etapa]],Etapas!A:A,Etapas!B:B)</f>
        <v>5.0000000000000001E-3</v>
      </c>
      <c r="G18" s="17">
        <f>Tabla3[[#This Row],[% Op. Etapa]]*Tabla3[[#This Row],[Ratio]]</f>
        <v>0</v>
      </c>
      <c r="H18" s="17">
        <f>IF(Tabla3[[#This Row],[Noticia]]&gt;0,Tabla3[[#This Row],[% Esperado]]/2,Tabla3[[#This Row],[% Esperado]])</f>
        <v>0</v>
      </c>
      <c r="I18">
        <v>0</v>
      </c>
    </row>
    <row r="19" spans="1:10">
      <c r="A19" s="18">
        <v>46334</v>
      </c>
      <c r="B19" t="str">
        <f t="shared" si="0"/>
        <v>DOMINGO</v>
      </c>
      <c r="C19">
        <v>33</v>
      </c>
      <c r="D19">
        <f>_xlfn.XLOOKUP(Tabla3[[#This Row],[Dia Semana]],Riesgo!A:A,Riesgo!B:B)</f>
        <v>0</v>
      </c>
      <c r="E19" t="s">
        <v>49</v>
      </c>
      <c r="F19" s="17">
        <f>_xlfn.XLOOKUP(Tabla3[[#This Row],[Etapa]],Etapas!A:A,Etapas!B:B)</f>
        <v>5.0000000000000001E-3</v>
      </c>
      <c r="G19" s="17">
        <f>Tabla3[[#This Row],[% Op. Etapa]]*Tabla3[[#This Row],[Ratio]]</f>
        <v>0</v>
      </c>
      <c r="H19" s="17">
        <f>IF(Tabla3[[#This Row],[Noticia]]&gt;0,Tabla3[[#This Row],[% Esperado]]/2,Tabla3[[#This Row],[% Esperado]])</f>
        <v>0</v>
      </c>
      <c r="I19">
        <v>0</v>
      </c>
    </row>
    <row r="20" spans="1:10">
      <c r="A20" s="18">
        <v>46335</v>
      </c>
      <c r="B20" t="str">
        <f t="shared" si="0"/>
        <v>LUNES</v>
      </c>
      <c r="C20">
        <v>34</v>
      </c>
      <c r="D20">
        <f>_xlfn.XLOOKUP(Tabla3[[#This Row],[Dia Semana]],Riesgo!A:A,Riesgo!B:B)</f>
        <v>2</v>
      </c>
      <c r="E20" t="s">
        <v>49</v>
      </c>
      <c r="F20" s="17">
        <f>_xlfn.XLOOKUP(Tabla3[[#This Row],[Etapa]],Etapas!A:A,Etapas!B:B)</f>
        <v>5.0000000000000001E-3</v>
      </c>
      <c r="G20" s="17">
        <f>Tabla3[[#This Row],[% Op. Etapa]]*Tabla3[[#This Row],[Ratio]]</f>
        <v>0.01</v>
      </c>
      <c r="H20" s="17">
        <f>IF(Tabla3[[#This Row],[Noticia]]&gt;0,Tabla3[[#This Row],[% Esperado]]/2,Tabla3[[#This Row],[% Esperado]])</f>
        <v>0.01</v>
      </c>
      <c r="I20">
        <v>0</v>
      </c>
    </row>
    <row r="21" spans="1:10">
      <c r="A21" s="18">
        <v>46336</v>
      </c>
      <c r="B21" t="str">
        <f t="shared" si="0"/>
        <v>MARTES</v>
      </c>
      <c r="C21">
        <v>35</v>
      </c>
      <c r="D21">
        <f>_xlfn.XLOOKUP(Tabla3[[#This Row],[Dia Semana]],Riesgo!A:A,Riesgo!B:B)</f>
        <v>2</v>
      </c>
      <c r="E21" t="s">
        <v>49</v>
      </c>
      <c r="F21" s="17">
        <f>_xlfn.XLOOKUP(Tabla3[[#This Row],[Etapa]],Etapas!A:A,Etapas!B:B)</f>
        <v>5.0000000000000001E-3</v>
      </c>
      <c r="G21" s="17">
        <f>Tabla3[[#This Row],[% Op. Etapa]]*Tabla3[[#This Row],[Ratio]]</f>
        <v>0.01</v>
      </c>
      <c r="H21" s="17">
        <f>IF(Tabla3[[#This Row],[Noticia]]&gt;0,Tabla3[[#This Row],[% Esperado]]/2,Tabla3[[#This Row],[% Esperado]])</f>
        <v>5.0000000000000001E-3</v>
      </c>
      <c r="I21">
        <v>1</v>
      </c>
      <c r="J21" s="20" t="s">
        <v>51</v>
      </c>
    </row>
    <row r="22" spans="1:10">
      <c r="A22" s="18">
        <v>46337</v>
      </c>
      <c r="B22" t="str">
        <f t="shared" si="0"/>
        <v>MIÉRCOLES</v>
      </c>
      <c r="C22">
        <v>36</v>
      </c>
      <c r="D22">
        <f>_xlfn.XLOOKUP(Tabla3[[#This Row],[Dia Semana]],Riesgo!A:A,Riesgo!B:B)</f>
        <v>1</v>
      </c>
      <c r="E22" t="s">
        <v>49</v>
      </c>
      <c r="F22" s="17">
        <f>_xlfn.XLOOKUP(Tabla3[[#This Row],[Etapa]],Etapas!A:A,Etapas!B:B)</f>
        <v>5.0000000000000001E-3</v>
      </c>
      <c r="G22" s="17">
        <f>Tabla3[[#This Row],[% Op. Etapa]]*Tabla3[[#This Row],[Ratio]]</f>
        <v>5.0000000000000001E-3</v>
      </c>
      <c r="H22" s="17">
        <f>IF(Tabla3[[#This Row],[Noticia]]&gt;0,Tabla3[[#This Row],[% Esperado]]/2,Tabla3[[#This Row],[% Esperado]])</f>
        <v>2.5000000000000001E-3</v>
      </c>
      <c r="I22">
        <v>1</v>
      </c>
      <c r="J22" t="s">
        <v>52</v>
      </c>
    </row>
    <row r="23" spans="1:10">
      <c r="A23" s="18">
        <v>46338</v>
      </c>
      <c r="B23" t="str">
        <f t="shared" si="0"/>
        <v>JUEVES</v>
      </c>
      <c r="C23">
        <v>37</v>
      </c>
      <c r="D23">
        <f>_xlfn.XLOOKUP(Tabla3[[#This Row],[Dia Semana]],Riesgo!A:A,Riesgo!B:B)</f>
        <v>2</v>
      </c>
      <c r="E23" t="s">
        <v>49</v>
      </c>
      <c r="F23" s="17">
        <f>_xlfn.XLOOKUP(Tabla3[[#This Row],[Etapa]],Etapas!A:A,Etapas!B:B)</f>
        <v>5.0000000000000001E-3</v>
      </c>
      <c r="G23" s="17">
        <f>Tabla3[[#This Row],[% Op. Etapa]]*Tabla3[[#This Row],[Ratio]]</f>
        <v>0.01</v>
      </c>
      <c r="H23" s="17">
        <f>IF(Tabla3[[#This Row],[Noticia]]&gt;0,Tabla3[[#This Row],[% Esperado]]/2,Tabla3[[#This Row],[% Esperado]])</f>
        <v>0.01</v>
      </c>
      <c r="I23">
        <v>0</v>
      </c>
    </row>
    <row r="24" spans="1:10">
      <c r="A24" s="18">
        <v>46339</v>
      </c>
      <c r="B24" t="str">
        <f t="shared" si="0"/>
        <v>VIERNES</v>
      </c>
      <c r="C24">
        <v>38</v>
      </c>
      <c r="D24">
        <f>_xlfn.XLOOKUP(Tabla3[[#This Row],[Dia Semana]],Riesgo!A:A,Riesgo!B:B)</f>
        <v>1</v>
      </c>
      <c r="E24" t="s">
        <v>49</v>
      </c>
      <c r="F24" s="17">
        <f>_xlfn.XLOOKUP(Tabla3[[#This Row],[Etapa]],Etapas!A:A,Etapas!B:B)</f>
        <v>5.0000000000000001E-3</v>
      </c>
      <c r="G24" s="17">
        <f>Tabla3[[#This Row],[% Op. Etapa]]*Tabla3[[#This Row],[Ratio]]</f>
        <v>5.0000000000000001E-3</v>
      </c>
      <c r="H24" s="17">
        <f>IF(Tabla3[[#This Row],[Noticia]]&gt;0,Tabla3[[#This Row],[% Esperado]]/2,Tabla3[[#This Row],[% Esperado]])</f>
        <v>2.5000000000000001E-3</v>
      </c>
      <c r="I24">
        <v>1</v>
      </c>
      <c r="J24" t="s">
        <v>53</v>
      </c>
    </row>
    <row r="25" spans="1:10">
      <c r="A25" s="18">
        <v>46340</v>
      </c>
      <c r="B25" t="str">
        <f t="shared" si="0"/>
        <v>SÁBADO</v>
      </c>
      <c r="C25">
        <v>39</v>
      </c>
      <c r="D25">
        <f>_xlfn.XLOOKUP(Tabla3[[#This Row],[Dia Semana]],Riesgo!A:A,Riesgo!B:B)</f>
        <v>0</v>
      </c>
      <c r="E25" t="s">
        <v>49</v>
      </c>
      <c r="F25" s="17">
        <f>_xlfn.XLOOKUP(Tabla3[[#This Row],[Etapa]],Etapas!A:A,Etapas!B:B)</f>
        <v>5.0000000000000001E-3</v>
      </c>
      <c r="G25" s="17">
        <f>Tabla3[[#This Row],[% Op. Etapa]]*Tabla3[[#This Row],[Ratio]]</f>
        <v>0</v>
      </c>
      <c r="H25" s="17">
        <f>IF(Tabla3[[#This Row],[Noticia]]&gt;0,Tabla3[[#This Row],[% Esperado]]/2,Tabla3[[#This Row],[% Esperado]])</f>
        <v>0</v>
      </c>
      <c r="I25">
        <v>0</v>
      </c>
    </row>
    <row r="26" spans="1:10">
      <c r="A26" s="18">
        <v>46341</v>
      </c>
      <c r="B26" t="str">
        <f t="shared" si="0"/>
        <v>DOMINGO</v>
      </c>
      <c r="C26">
        <v>40</v>
      </c>
      <c r="D26">
        <f>_xlfn.XLOOKUP(Tabla3[[#This Row],[Dia Semana]],Riesgo!A:A,Riesgo!B:B)</f>
        <v>0</v>
      </c>
      <c r="E26" t="s">
        <v>49</v>
      </c>
      <c r="F26" s="17">
        <f>_xlfn.XLOOKUP(Tabla3[[#This Row],[Etapa]],Etapas!A:A,Etapas!B:B)</f>
        <v>5.0000000000000001E-3</v>
      </c>
      <c r="G26" s="17">
        <f>Tabla3[[#This Row],[% Op. Etapa]]*Tabla3[[#This Row],[Ratio]]</f>
        <v>0</v>
      </c>
      <c r="H26" s="17">
        <f>IF(Tabla3[[#This Row],[Noticia]]&gt;0,Tabla3[[#This Row],[% Esperado]]/2,Tabla3[[#This Row],[% Esperado]])</f>
        <v>0</v>
      </c>
      <c r="I26">
        <v>0</v>
      </c>
    </row>
    <row r="27" spans="1:10">
      <c r="A27" s="18">
        <v>46342</v>
      </c>
      <c r="B27" t="str">
        <f t="shared" si="0"/>
        <v>LUNES</v>
      </c>
      <c r="C27">
        <v>41</v>
      </c>
      <c r="D27">
        <f>_xlfn.XLOOKUP(Tabla3[[#This Row],[Dia Semana]],Riesgo!A:A,Riesgo!B:B)</f>
        <v>2</v>
      </c>
      <c r="E27" t="s">
        <v>49</v>
      </c>
      <c r="F27" s="17">
        <f>_xlfn.XLOOKUP(Tabla3[[#This Row],[Etapa]],Etapas!A:A,Etapas!B:B)</f>
        <v>5.0000000000000001E-3</v>
      </c>
      <c r="G27" s="17">
        <f>Tabla3[[#This Row],[% Op. Etapa]]*Tabla3[[#This Row],[Ratio]]</f>
        <v>0.01</v>
      </c>
      <c r="H27" s="17">
        <f>IF(Tabla3[[#This Row],[Noticia]]&gt;0,Tabla3[[#This Row],[% Esperado]]/2,Tabla3[[#This Row],[% Esperado]])</f>
        <v>0.01</v>
      </c>
      <c r="I27">
        <v>0</v>
      </c>
    </row>
    <row r="28" spans="1:10">
      <c r="A28" s="18">
        <v>46343</v>
      </c>
      <c r="B28" t="str">
        <f t="shared" si="0"/>
        <v>MARTES</v>
      </c>
      <c r="C28">
        <v>42</v>
      </c>
      <c r="D28">
        <f>_xlfn.XLOOKUP(Tabla3[[#This Row],[Dia Semana]],Riesgo!A:A,Riesgo!B:B)</f>
        <v>2</v>
      </c>
      <c r="E28" t="s">
        <v>49</v>
      </c>
      <c r="F28" s="17">
        <f>_xlfn.XLOOKUP(Tabla3[[#This Row],[Etapa]],Etapas!A:A,Etapas!B:B)</f>
        <v>5.0000000000000001E-3</v>
      </c>
      <c r="G28" s="17">
        <f>Tabla3[[#This Row],[% Op. Etapa]]*Tabla3[[#This Row],[Ratio]]</f>
        <v>0.01</v>
      </c>
      <c r="H28" s="17">
        <f>IF(Tabla3[[#This Row],[Noticia]]&gt;0,Tabla3[[#This Row],[% Esperado]]/2,Tabla3[[#This Row],[% Esperado]])</f>
        <v>5.0000000000000001E-3</v>
      </c>
      <c r="I28">
        <v>1</v>
      </c>
      <c r="J28" t="s">
        <v>54</v>
      </c>
    </row>
    <row r="29" spans="1:10">
      <c r="A29" s="18">
        <v>46344</v>
      </c>
      <c r="B29" t="str">
        <f t="shared" si="0"/>
        <v>MIÉRCOLES</v>
      </c>
      <c r="C29">
        <v>43</v>
      </c>
      <c r="D29">
        <f>_xlfn.XLOOKUP(Tabla3[[#This Row],[Dia Semana]],Riesgo!A:A,Riesgo!B:B)</f>
        <v>1</v>
      </c>
      <c r="E29" t="s">
        <v>49</v>
      </c>
      <c r="F29" s="17">
        <f>_xlfn.XLOOKUP(Tabla3[[#This Row],[Etapa]],Etapas!A:A,Etapas!B:B)</f>
        <v>5.0000000000000001E-3</v>
      </c>
      <c r="G29" s="17">
        <f>Tabla3[[#This Row],[% Op. Etapa]]*Tabla3[[#This Row],[Ratio]]</f>
        <v>5.0000000000000001E-3</v>
      </c>
      <c r="H29" s="17">
        <f>IF(Tabla3[[#This Row],[Noticia]]&gt;0,Tabla3[[#This Row],[% Esperado]]/2,Tabla3[[#This Row],[% Esperado]])</f>
        <v>2.5000000000000001E-3</v>
      </c>
      <c r="I29">
        <v>1</v>
      </c>
      <c r="J29" t="s">
        <v>55</v>
      </c>
    </row>
    <row r="30" spans="1:10">
      <c r="A30" s="18">
        <v>46345</v>
      </c>
      <c r="B30" t="str">
        <f t="shared" si="0"/>
        <v>JUEVES</v>
      </c>
      <c r="C30">
        <v>44</v>
      </c>
      <c r="D30">
        <f>_xlfn.XLOOKUP(Tabla3[[#This Row],[Dia Semana]],Riesgo!A:A,Riesgo!B:B)</f>
        <v>2</v>
      </c>
      <c r="E30" t="s">
        <v>49</v>
      </c>
      <c r="F30" s="17">
        <f>_xlfn.XLOOKUP(Tabla3[[#This Row],[Etapa]],Etapas!A:A,Etapas!B:B)</f>
        <v>5.0000000000000001E-3</v>
      </c>
      <c r="G30" s="17">
        <f>Tabla3[[#This Row],[% Op. Etapa]]*Tabla3[[#This Row],[Ratio]]</f>
        <v>0.01</v>
      </c>
      <c r="H30" s="17">
        <f>IF(Tabla3[[#This Row],[Noticia]]&gt;0,Tabla3[[#This Row],[% Esperado]]/2,Tabla3[[#This Row],[% Esperado]])</f>
        <v>0.01</v>
      </c>
      <c r="I30">
        <v>0</v>
      </c>
    </row>
    <row r="31" spans="1:10">
      <c r="A31" s="18">
        <v>46346</v>
      </c>
      <c r="B31" t="str">
        <f t="shared" si="0"/>
        <v>VIERNES</v>
      </c>
      <c r="C31">
        <v>45</v>
      </c>
      <c r="D31">
        <f>_xlfn.XLOOKUP(Tabla3[[#This Row],[Dia Semana]],Riesgo!A:A,Riesgo!B:B)</f>
        <v>1</v>
      </c>
      <c r="E31" t="s">
        <v>49</v>
      </c>
      <c r="F31" s="17">
        <f>_xlfn.XLOOKUP(Tabla3[[#This Row],[Etapa]],Etapas!A:A,Etapas!B:B)</f>
        <v>5.0000000000000001E-3</v>
      </c>
      <c r="G31" s="17">
        <f>Tabla3[[#This Row],[% Op. Etapa]]*Tabla3[[#This Row],[Ratio]]</f>
        <v>5.0000000000000001E-3</v>
      </c>
      <c r="H31" s="17">
        <f>IF(Tabla3[[#This Row],[Noticia]]&gt;0,Tabla3[[#This Row],[% Esperado]]/2,Tabla3[[#This Row],[% Esperado]])</f>
        <v>5.0000000000000001E-3</v>
      </c>
      <c r="I31">
        <v>0</v>
      </c>
    </row>
    <row r="32" spans="1:10">
      <c r="A32" s="18">
        <v>46347</v>
      </c>
      <c r="B32" t="str">
        <f t="shared" si="0"/>
        <v>SÁBADO</v>
      </c>
      <c r="C32">
        <v>46</v>
      </c>
      <c r="D32">
        <f>_xlfn.XLOOKUP(Tabla3[[#This Row],[Dia Semana]],Riesgo!A:A,Riesgo!B:B)</f>
        <v>0</v>
      </c>
      <c r="E32" t="s">
        <v>49</v>
      </c>
      <c r="F32" s="17">
        <f>_xlfn.XLOOKUP(Tabla3[[#This Row],[Etapa]],Etapas!A:A,Etapas!B:B)</f>
        <v>5.0000000000000001E-3</v>
      </c>
      <c r="G32" s="17">
        <f>Tabla3[[#This Row],[% Op. Etapa]]*Tabla3[[#This Row],[Ratio]]</f>
        <v>0</v>
      </c>
      <c r="H32" s="17">
        <f>IF(Tabla3[[#This Row],[Noticia]]&gt;0,Tabla3[[#This Row],[% Esperado]]/2,Tabla3[[#This Row],[% Esperado]])</f>
        <v>0</v>
      </c>
      <c r="I32">
        <v>0</v>
      </c>
    </row>
    <row r="33" spans="1:10">
      <c r="A33" s="18">
        <v>46348</v>
      </c>
      <c r="B33" t="str">
        <f t="shared" si="0"/>
        <v>DOMINGO</v>
      </c>
      <c r="C33">
        <v>47</v>
      </c>
      <c r="D33">
        <f>_xlfn.XLOOKUP(Tabla3[[#This Row],[Dia Semana]],Riesgo!A:A,Riesgo!B:B)</f>
        <v>0</v>
      </c>
      <c r="E33" t="s">
        <v>49</v>
      </c>
      <c r="F33" s="17">
        <f>_xlfn.XLOOKUP(Tabla3[[#This Row],[Etapa]],Etapas!A:A,Etapas!B:B)</f>
        <v>5.0000000000000001E-3</v>
      </c>
      <c r="G33" s="17">
        <f>Tabla3[[#This Row],[% Op. Etapa]]*Tabla3[[#This Row],[Ratio]]</f>
        <v>0</v>
      </c>
      <c r="H33" s="17">
        <f>IF(Tabla3[[#This Row],[Noticia]]&gt;0,Tabla3[[#This Row],[% Esperado]]/2,Tabla3[[#This Row],[% Esperado]])</f>
        <v>0</v>
      </c>
      <c r="I33">
        <v>0</v>
      </c>
    </row>
    <row r="34" spans="1:10">
      <c r="A34" s="18">
        <v>46349</v>
      </c>
      <c r="B34" t="str">
        <f t="shared" si="0"/>
        <v>LUNES</v>
      </c>
      <c r="C34">
        <v>48</v>
      </c>
      <c r="D34">
        <f>_xlfn.XLOOKUP(Tabla3[[#This Row],[Dia Semana]],Riesgo!A:A,Riesgo!B:B)</f>
        <v>2</v>
      </c>
      <c r="E34" t="s">
        <v>49</v>
      </c>
      <c r="F34" s="17">
        <f>_xlfn.XLOOKUP(Tabla3[[#This Row],[Etapa]],Etapas!A:A,Etapas!B:B)</f>
        <v>5.0000000000000001E-3</v>
      </c>
      <c r="G34" s="17">
        <f>Tabla3[[#This Row],[% Op. Etapa]]*Tabla3[[#This Row],[Ratio]]</f>
        <v>0.01</v>
      </c>
      <c r="H34" s="17">
        <f>IF(Tabla3[[#This Row],[Noticia]]&gt;0,Tabla3[[#This Row],[% Esperado]]/2,Tabla3[[#This Row],[% Esperado]])</f>
        <v>0.01</v>
      </c>
      <c r="I34">
        <v>0</v>
      </c>
    </row>
    <row r="35" spans="1:10">
      <c r="A35" s="18">
        <v>46350</v>
      </c>
      <c r="B35" t="str">
        <f t="shared" si="0"/>
        <v>MARTES</v>
      </c>
      <c r="C35">
        <v>49</v>
      </c>
      <c r="D35">
        <f>_xlfn.XLOOKUP(Tabla3[[#This Row],[Dia Semana]],Riesgo!A:A,Riesgo!B:B)</f>
        <v>2</v>
      </c>
      <c r="E35" t="s">
        <v>49</v>
      </c>
      <c r="F35" s="17">
        <f>_xlfn.XLOOKUP(Tabla3[[#This Row],[Etapa]],Etapas!A:A,Etapas!B:B)</f>
        <v>5.0000000000000001E-3</v>
      </c>
      <c r="G35" s="17">
        <f>Tabla3[[#This Row],[% Op. Etapa]]*Tabla3[[#This Row],[Ratio]]</f>
        <v>0.01</v>
      </c>
      <c r="H35" s="17">
        <f>IF(Tabla3[[#This Row],[Noticia]]&gt;0,Tabla3[[#This Row],[% Esperado]]/2,Tabla3[[#This Row],[% Esperado]])</f>
        <v>0.01</v>
      </c>
      <c r="I35">
        <v>0</v>
      </c>
    </row>
    <row r="36" spans="1:10">
      <c r="A36" s="18">
        <v>46351</v>
      </c>
      <c r="B36" t="str">
        <f t="shared" si="0"/>
        <v>MIÉRCOLES</v>
      </c>
      <c r="C36">
        <v>50</v>
      </c>
      <c r="D36">
        <f>_xlfn.XLOOKUP(Tabla3[[#This Row],[Dia Semana]],Riesgo!A:A,Riesgo!B:B)</f>
        <v>1</v>
      </c>
      <c r="E36" t="s">
        <v>49</v>
      </c>
      <c r="F36" s="17">
        <f>_xlfn.XLOOKUP(Tabla3[[#This Row],[Etapa]],Etapas!A:A,Etapas!B:B)</f>
        <v>5.0000000000000001E-3</v>
      </c>
      <c r="G36" s="17">
        <f>Tabla3[[#This Row],[% Op. Etapa]]*Tabla3[[#This Row],[Ratio]]</f>
        <v>5.0000000000000001E-3</v>
      </c>
      <c r="H36" s="17">
        <f>IF(Tabla3[[#This Row],[Noticia]]&gt;0,Tabla3[[#This Row],[% Esperado]]/2,Tabla3[[#This Row],[% Esperado]])</f>
        <v>2.5000000000000001E-3</v>
      </c>
      <c r="I36">
        <v>1</v>
      </c>
      <c r="J36" t="s">
        <v>56</v>
      </c>
    </row>
    <row r="37" spans="1:10">
      <c r="A37" s="18">
        <v>46352</v>
      </c>
      <c r="B37" t="str">
        <f t="shared" si="0"/>
        <v>JUEVES</v>
      </c>
      <c r="C37">
        <v>51</v>
      </c>
      <c r="D37">
        <f>_xlfn.XLOOKUP(Tabla3[[#This Row],[Dia Semana]],Riesgo!A:A,Riesgo!B:B)</f>
        <v>2</v>
      </c>
      <c r="E37" t="s">
        <v>49</v>
      </c>
      <c r="F37" s="17">
        <f>_xlfn.XLOOKUP(Tabla3[[#This Row],[Etapa]],Etapas!A:A,Etapas!B:B)</f>
        <v>5.0000000000000001E-3</v>
      </c>
      <c r="G37" s="17">
        <f>Tabla3[[#This Row],[% Op. Etapa]]*Tabla3[[#This Row],[Ratio]]</f>
        <v>0.01</v>
      </c>
      <c r="H37" s="17">
        <f>IF(Tabla3[[#This Row],[Noticia]]&gt;0,Tabla3[[#This Row],[% Esperado]]/2,Tabla3[[#This Row],[% Esperado]])</f>
        <v>5.0000000000000001E-3</v>
      </c>
      <c r="I37">
        <v>1</v>
      </c>
      <c r="J37" t="s">
        <v>52</v>
      </c>
    </row>
    <row r="38" spans="1:10">
      <c r="A38" s="18">
        <v>46353</v>
      </c>
      <c r="B38" t="str">
        <f t="shared" si="0"/>
        <v>VIERNES</v>
      </c>
      <c r="C38">
        <v>52</v>
      </c>
      <c r="D38">
        <f>_xlfn.XLOOKUP(Tabla3[[#This Row],[Dia Semana]],Riesgo!A:A,Riesgo!B:B)</f>
        <v>1</v>
      </c>
      <c r="E38" t="s">
        <v>49</v>
      </c>
      <c r="F38" s="17">
        <f>_xlfn.XLOOKUP(Tabla3[[#This Row],[Etapa]],Etapas!A:A,Etapas!B:B)</f>
        <v>5.0000000000000001E-3</v>
      </c>
      <c r="G38" s="17">
        <f>Tabla3[[#This Row],[% Op. Etapa]]*Tabla3[[#This Row],[Ratio]]</f>
        <v>5.0000000000000001E-3</v>
      </c>
      <c r="H38" s="17">
        <f>IF(Tabla3[[#This Row],[Noticia]]&gt;0,Tabla3[[#This Row],[% Esperado]]/2,Tabla3[[#This Row],[% Esperado]])</f>
        <v>5.0000000000000001E-3</v>
      </c>
      <c r="I38">
        <v>0</v>
      </c>
    </row>
    <row r="39" spans="1:10">
      <c r="A39" s="18">
        <v>46354</v>
      </c>
      <c r="B39" t="str">
        <f t="shared" si="0"/>
        <v>SÁBADO</v>
      </c>
      <c r="C39">
        <v>53</v>
      </c>
      <c r="D39">
        <f>_xlfn.XLOOKUP(Tabla3[[#This Row],[Dia Semana]],Riesgo!A:A,Riesgo!B:B)</f>
        <v>0</v>
      </c>
      <c r="E39" t="s">
        <v>49</v>
      </c>
      <c r="F39" s="17">
        <f>_xlfn.XLOOKUP(Tabla3[[#This Row],[Etapa]],Etapas!A:A,Etapas!B:B)</f>
        <v>5.0000000000000001E-3</v>
      </c>
      <c r="G39" s="17">
        <f>Tabla3[[#This Row],[% Op. Etapa]]*Tabla3[[#This Row],[Ratio]]</f>
        <v>0</v>
      </c>
      <c r="H39" s="17">
        <f>IF(Tabla3[[#This Row],[Noticia]]&gt;0,Tabla3[[#This Row],[% Esperado]]/2,Tabla3[[#This Row],[% Esperado]])</f>
        <v>0</v>
      </c>
      <c r="I39">
        <v>0</v>
      </c>
    </row>
    <row r="40" spans="1:10">
      <c r="A40" s="18">
        <v>46355</v>
      </c>
      <c r="B40" t="str">
        <f t="shared" si="0"/>
        <v>DOMINGO</v>
      </c>
      <c r="C40">
        <v>54</v>
      </c>
      <c r="D40">
        <f>_xlfn.XLOOKUP(Tabla3[[#This Row],[Dia Semana]],Riesgo!A:A,Riesgo!B:B)</f>
        <v>0</v>
      </c>
      <c r="E40" t="s">
        <v>49</v>
      </c>
      <c r="F40" s="17">
        <f>_xlfn.XLOOKUP(Tabla3[[#This Row],[Etapa]],Etapas!A:A,Etapas!B:B)</f>
        <v>5.0000000000000001E-3</v>
      </c>
      <c r="G40" s="17">
        <f>Tabla3[[#This Row],[% Op. Etapa]]*Tabla3[[#This Row],[Ratio]]</f>
        <v>0</v>
      </c>
      <c r="H40" s="17">
        <f>IF(Tabla3[[#This Row],[Noticia]]&gt;0,Tabla3[[#This Row],[% Esperado]]/2,Tabla3[[#This Row],[% Esperado]])</f>
        <v>0</v>
      </c>
      <c r="I40">
        <v>0</v>
      </c>
    </row>
    <row r="41" spans="1:10">
      <c r="A41" s="18">
        <v>46356</v>
      </c>
      <c r="B41" t="str">
        <f t="shared" si="0"/>
        <v>LUNES</v>
      </c>
      <c r="C41">
        <v>55</v>
      </c>
      <c r="D41">
        <f>_xlfn.XLOOKUP(Tabla3[[#This Row],[Dia Semana]],Riesgo!A:A,Riesgo!B:B)</f>
        <v>2</v>
      </c>
      <c r="E41" t="s">
        <v>49</v>
      </c>
      <c r="F41" s="17">
        <f>_xlfn.XLOOKUP(Tabla3[[#This Row],[Etapa]],Etapas!A:A,Etapas!B:B)</f>
        <v>5.0000000000000001E-3</v>
      </c>
      <c r="G41" s="17">
        <f>Tabla3[[#This Row],[% Op. Etapa]]*Tabla3[[#This Row],[Ratio]]</f>
        <v>0.01</v>
      </c>
      <c r="H41" s="17">
        <f>IF(Tabla3[[#This Row],[Noticia]]&gt;0,Tabla3[[#This Row],[% Esperado]]/2,Tabla3[[#This Row],[% Esperado]])</f>
        <v>0.01</v>
      </c>
      <c r="I41">
        <v>0</v>
      </c>
    </row>
    <row r="42" spans="1:10">
      <c r="A42" s="18">
        <v>46357</v>
      </c>
      <c r="B42" t="str">
        <f t="shared" si="0"/>
        <v>MARTES</v>
      </c>
      <c r="C42">
        <v>56</v>
      </c>
      <c r="D42">
        <f>_xlfn.XLOOKUP(Tabla3[[#This Row],[Dia Semana]],Riesgo!A:A,Riesgo!B:B)</f>
        <v>2</v>
      </c>
      <c r="E42" t="s">
        <v>49</v>
      </c>
      <c r="F42" s="17">
        <f>_xlfn.XLOOKUP(Tabla3[[#This Row],[Etapa]],Etapas!A:A,Etapas!B:B)</f>
        <v>5.0000000000000001E-3</v>
      </c>
      <c r="G42" s="17">
        <f>Tabla3[[#This Row],[% Op. Etapa]]*Tabla3[[#This Row],[Ratio]]</f>
        <v>0.01</v>
      </c>
      <c r="H42" s="17">
        <f>IF(Tabla3[[#This Row],[Noticia]]&gt;0,Tabla3[[#This Row],[% Esperado]]/2,Tabla3[[#This Row],[% Esperado]])</f>
        <v>0.01</v>
      </c>
      <c r="I42">
        <v>0</v>
      </c>
    </row>
    <row r="43" spans="1:10">
      <c r="A43" s="18">
        <v>46358</v>
      </c>
      <c r="B43" t="str">
        <f t="shared" si="0"/>
        <v>MIÉRCOLES</v>
      </c>
      <c r="C43">
        <v>57</v>
      </c>
      <c r="D43">
        <f>_xlfn.XLOOKUP(Tabla3[[#This Row],[Dia Semana]],Riesgo!A:A,Riesgo!B:B)</f>
        <v>1</v>
      </c>
      <c r="E43" t="s">
        <v>49</v>
      </c>
      <c r="F43" s="17">
        <f>_xlfn.XLOOKUP(Tabla3[[#This Row],[Etapa]],Etapas!A:A,Etapas!B:B)</f>
        <v>5.0000000000000001E-3</v>
      </c>
      <c r="G43" s="17">
        <f>Tabla3[[#This Row],[% Op. Etapa]]*Tabla3[[#This Row],[Ratio]]</f>
        <v>5.0000000000000001E-3</v>
      </c>
      <c r="H43" s="17">
        <f>IF(Tabla3[[#This Row],[Noticia]]&gt;0,Tabla3[[#This Row],[% Esperado]]/2,Tabla3[[#This Row],[% Esperado]])</f>
        <v>5.0000000000000001E-3</v>
      </c>
      <c r="I43">
        <v>0</v>
      </c>
    </row>
    <row r="44" spans="1:10">
      <c r="A44" s="18">
        <v>46359</v>
      </c>
      <c r="B44" t="str">
        <f t="shared" si="0"/>
        <v>JUEVES</v>
      </c>
      <c r="C44">
        <v>58</v>
      </c>
      <c r="D44">
        <f>_xlfn.XLOOKUP(Tabla3[[#This Row],[Dia Semana]],Riesgo!A:A,Riesgo!B:B)</f>
        <v>2</v>
      </c>
      <c r="E44" t="s">
        <v>49</v>
      </c>
      <c r="F44" s="17">
        <f>_xlfn.XLOOKUP(Tabla3[[#This Row],[Etapa]],Etapas!A:A,Etapas!B:B)</f>
        <v>5.0000000000000001E-3</v>
      </c>
      <c r="G44" s="17">
        <f>Tabla3[[#This Row],[% Op. Etapa]]*Tabla3[[#This Row],[Ratio]]</f>
        <v>0.01</v>
      </c>
      <c r="H44" s="17">
        <f>IF(Tabla3[[#This Row],[Noticia]]&gt;0,Tabla3[[#This Row],[% Esperado]]/2,Tabla3[[#This Row],[% Esperado]])</f>
        <v>0.01</v>
      </c>
      <c r="I44">
        <v>0</v>
      </c>
    </row>
    <row r="45" spans="1:10">
      <c r="A45" s="18">
        <v>46360</v>
      </c>
      <c r="B45" t="str">
        <f t="shared" si="0"/>
        <v>VIERNES</v>
      </c>
      <c r="C45">
        <v>59</v>
      </c>
      <c r="D45">
        <f>_xlfn.XLOOKUP(Tabla3[[#This Row],[Dia Semana]],Riesgo!A:A,Riesgo!B:B)</f>
        <v>1</v>
      </c>
      <c r="E45" t="s">
        <v>49</v>
      </c>
      <c r="F45" s="17">
        <f>_xlfn.XLOOKUP(Tabla3[[#This Row],[Etapa]],Etapas!A:A,Etapas!B:B)</f>
        <v>5.0000000000000001E-3</v>
      </c>
      <c r="G45" s="17">
        <f>Tabla3[[#This Row],[% Op. Etapa]]*Tabla3[[#This Row],[Ratio]]</f>
        <v>5.0000000000000001E-3</v>
      </c>
      <c r="H45" s="17">
        <f>IF(Tabla3[[#This Row],[Noticia]]&gt;0,Tabla3[[#This Row],[% Esperado]]/2,Tabla3[[#This Row],[% Esperado]])</f>
        <v>5.0000000000000001E-3</v>
      </c>
      <c r="I45">
        <v>0</v>
      </c>
    </row>
    <row r="46" spans="1:10">
      <c r="A46" s="18">
        <v>46361</v>
      </c>
      <c r="B46" t="str">
        <f t="shared" si="0"/>
        <v>SÁBADO</v>
      </c>
      <c r="C46">
        <v>60</v>
      </c>
      <c r="D46">
        <f>_xlfn.XLOOKUP(Tabla3[[#This Row],[Dia Semana]],Riesgo!A:A,Riesgo!B:B)</f>
        <v>0</v>
      </c>
      <c r="E46" t="s">
        <v>49</v>
      </c>
      <c r="F46" s="17">
        <f>_xlfn.XLOOKUP(Tabla3[[#This Row],[Etapa]],Etapas!A:A,Etapas!B:B)</f>
        <v>5.0000000000000001E-3</v>
      </c>
      <c r="G46" s="17">
        <f>Tabla3[[#This Row],[% Op. Etapa]]*Tabla3[[#This Row],[Ratio]]</f>
        <v>0</v>
      </c>
      <c r="H46" s="17">
        <f>IF(Tabla3[[#This Row],[Noticia]]&gt;0,Tabla3[[#This Row],[% Esperado]]/2,Tabla3[[#This Row],[% Esperado]])</f>
        <v>0</v>
      </c>
      <c r="I46">
        <v>0</v>
      </c>
    </row>
    <row r="47" spans="1:10">
      <c r="A47" s="18">
        <v>46362</v>
      </c>
      <c r="B47" t="str">
        <f t="shared" si="0"/>
        <v>DOMINGO</v>
      </c>
      <c r="C47">
        <v>61</v>
      </c>
      <c r="D47">
        <f>_xlfn.XLOOKUP(Tabla3[[#This Row],[Dia Semana]],Riesgo!A:A,Riesgo!B:B)</f>
        <v>0</v>
      </c>
      <c r="E47" t="s">
        <v>49</v>
      </c>
      <c r="F47" s="17">
        <f>_xlfn.XLOOKUP(Tabla3[[#This Row],[Etapa]],Etapas!A:A,Etapas!B:B)</f>
        <v>5.0000000000000001E-3</v>
      </c>
      <c r="G47" s="17">
        <f>Tabla3[[#This Row],[% Op. Etapa]]*Tabla3[[#This Row],[Ratio]]</f>
        <v>0</v>
      </c>
      <c r="H47" s="17">
        <f>IF(Tabla3[[#This Row],[Noticia]]&gt;0,Tabla3[[#This Row],[% Esperado]]/2,Tabla3[[#This Row],[% Esperado]])</f>
        <v>0</v>
      </c>
      <c r="I47">
        <v>0</v>
      </c>
    </row>
    <row r="48" spans="1:10">
      <c r="A48" s="18">
        <v>46363</v>
      </c>
      <c r="B48" t="str">
        <f t="shared" si="0"/>
        <v>LUNES</v>
      </c>
      <c r="C48">
        <v>62</v>
      </c>
      <c r="D48">
        <f>_xlfn.XLOOKUP(Tabla3[[#This Row],[Dia Semana]],Riesgo!A:A,Riesgo!B:B)</f>
        <v>2</v>
      </c>
      <c r="E48" t="s">
        <v>49</v>
      </c>
      <c r="F48" s="17">
        <f>_xlfn.XLOOKUP(Tabla3[[#This Row],[Etapa]],Etapas!A:A,Etapas!B:B)</f>
        <v>5.0000000000000001E-3</v>
      </c>
      <c r="G48" s="17">
        <f>Tabla3[[#This Row],[% Op. Etapa]]*Tabla3[[#This Row],[Ratio]]</f>
        <v>0.01</v>
      </c>
      <c r="H48" s="17">
        <f>IF(Tabla3[[#This Row],[Noticia]]&gt;0,Tabla3[[#This Row],[% Esperado]]/2,Tabla3[[#This Row],[% Esperado]])</f>
        <v>0.01</v>
      </c>
      <c r="I48">
        <v>0</v>
      </c>
    </row>
    <row r="49" spans="1:9">
      <c r="A49" s="18">
        <v>46364</v>
      </c>
      <c r="B49" t="str">
        <f t="shared" si="0"/>
        <v>MARTES</v>
      </c>
      <c r="C49">
        <v>63</v>
      </c>
      <c r="D49">
        <f>_xlfn.XLOOKUP(Tabla3[[#This Row],[Dia Semana]],Riesgo!A:A,Riesgo!B:B)</f>
        <v>2</v>
      </c>
      <c r="E49" t="s">
        <v>49</v>
      </c>
      <c r="F49" s="17">
        <f>_xlfn.XLOOKUP(Tabla3[[#This Row],[Etapa]],Etapas!A:A,Etapas!B:B)</f>
        <v>5.0000000000000001E-3</v>
      </c>
      <c r="G49" s="17">
        <f>Tabla3[[#This Row],[% Op. Etapa]]*Tabla3[[#This Row],[Ratio]]</f>
        <v>0.01</v>
      </c>
      <c r="H49" s="17">
        <f>IF(Tabla3[[#This Row],[Noticia]]&gt;0,Tabla3[[#This Row],[% Esperado]]/2,Tabla3[[#This Row],[% Esperado]])</f>
        <v>0.01</v>
      </c>
      <c r="I49">
        <v>0</v>
      </c>
    </row>
    <row r="50" spans="1:9">
      <c r="A50" s="18">
        <v>46365</v>
      </c>
      <c r="B50" t="str">
        <f t="shared" si="0"/>
        <v>MIÉRCOLES</v>
      </c>
      <c r="C50">
        <v>64</v>
      </c>
      <c r="D50">
        <f>_xlfn.XLOOKUP(Tabla3[[#This Row],[Dia Semana]],Riesgo!A:A,Riesgo!B:B)</f>
        <v>1</v>
      </c>
      <c r="E50" t="s">
        <v>49</v>
      </c>
      <c r="F50" s="17">
        <f>_xlfn.XLOOKUP(Tabla3[[#This Row],[Etapa]],Etapas!A:A,Etapas!B:B)</f>
        <v>5.0000000000000001E-3</v>
      </c>
      <c r="G50" s="17">
        <f>Tabla3[[#This Row],[% Op. Etapa]]*Tabla3[[#This Row],[Ratio]]</f>
        <v>5.0000000000000001E-3</v>
      </c>
      <c r="H50" s="17">
        <f>IF(Tabla3[[#This Row],[Noticia]]&gt;0,Tabla3[[#This Row],[% Esperado]]/2,Tabla3[[#This Row],[% Esperado]])</f>
        <v>5.0000000000000001E-3</v>
      </c>
      <c r="I50">
        <v>0</v>
      </c>
    </row>
    <row r="51" spans="1:9">
      <c r="A51" s="18">
        <v>46366</v>
      </c>
      <c r="B51" t="str">
        <f t="shared" si="0"/>
        <v>JUEVES</v>
      </c>
      <c r="C51">
        <v>65</v>
      </c>
      <c r="D51">
        <f>_xlfn.XLOOKUP(Tabla3[[#This Row],[Dia Semana]],Riesgo!A:A,Riesgo!B:B)</f>
        <v>2</v>
      </c>
      <c r="E51" t="s">
        <v>49</v>
      </c>
      <c r="F51" s="17">
        <f>_xlfn.XLOOKUP(Tabla3[[#This Row],[Etapa]],Etapas!A:A,Etapas!B:B)</f>
        <v>5.0000000000000001E-3</v>
      </c>
      <c r="G51" s="17">
        <f>Tabla3[[#This Row],[% Op. Etapa]]*Tabla3[[#This Row],[Ratio]]</f>
        <v>0.01</v>
      </c>
      <c r="H51" s="17">
        <f>IF(Tabla3[[#This Row],[Noticia]]&gt;0,Tabla3[[#This Row],[% Esperado]]/2,Tabla3[[#This Row],[% Esperado]])</f>
        <v>0.01</v>
      </c>
      <c r="I51">
        <v>0</v>
      </c>
    </row>
    <row r="52" spans="1:9">
      <c r="A52" s="18">
        <v>46367</v>
      </c>
      <c r="B52" t="str">
        <f t="shared" si="0"/>
        <v>VIERNES</v>
      </c>
      <c r="C52">
        <v>66</v>
      </c>
      <c r="D52">
        <f>_xlfn.XLOOKUP(Tabla3[[#This Row],[Dia Semana]],Riesgo!A:A,Riesgo!B:B)</f>
        <v>1</v>
      </c>
      <c r="E52" t="s">
        <v>49</v>
      </c>
      <c r="F52" s="17">
        <f>_xlfn.XLOOKUP(Tabla3[[#This Row],[Etapa]],Etapas!A:A,Etapas!B:B)</f>
        <v>5.0000000000000001E-3</v>
      </c>
      <c r="G52" s="17">
        <f>Tabla3[[#This Row],[% Op. Etapa]]*Tabla3[[#This Row],[Ratio]]</f>
        <v>5.0000000000000001E-3</v>
      </c>
      <c r="H52" s="17">
        <f>IF(Tabla3[[#This Row],[Noticia]]&gt;0,Tabla3[[#This Row],[% Esperado]]/2,Tabla3[[#This Row],[% Esperado]])</f>
        <v>5.0000000000000001E-3</v>
      </c>
      <c r="I52">
        <v>0</v>
      </c>
    </row>
    <row r="53" spans="1:9">
      <c r="A53" s="18">
        <v>46368</v>
      </c>
      <c r="B53" t="str">
        <f t="shared" si="0"/>
        <v>SÁBADO</v>
      </c>
      <c r="C53">
        <v>67</v>
      </c>
      <c r="D53">
        <f>_xlfn.XLOOKUP(Tabla3[[#This Row],[Dia Semana]],Riesgo!A:A,Riesgo!B:B)</f>
        <v>0</v>
      </c>
      <c r="E53" t="s">
        <v>49</v>
      </c>
      <c r="F53" s="17">
        <f>_xlfn.XLOOKUP(Tabla3[[#This Row],[Etapa]],Etapas!A:A,Etapas!B:B)</f>
        <v>5.0000000000000001E-3</v>
      </c>
      <c r="G53" s="17">
        <f>Tabla3[[#This Row],[% Op. Etapa]]*Tabla3[[#This Row],[Ratio]]</f>
        <v>0</v>
      </c>
      <c r="H53" s="17">
        <f>IF(Tabla3[[#This Row],[Noticia]]&gt;0,Tabla3[[#This Row],[% Esperado]]/2,Tabla3[[#This Row],[% Esperado]])</f>
        <v>0</v>
      </c>
      <c r="I53">
        <v>0</v>
      </c>
    </row>
    <row r="54" spans="1:9">
      <c r="A54" s="18">
        <v>46369</v>
      </c>
      <c r="B54" t="str">
        <f t="shared" si="0"/>
        <v>DOMINGO</v>
      </c>
      <c r="C54">
        <v>68</v>
      </c>
      <c r="D54">
        <f>_xlfn.XLOOKUP(Tabla3[[#This Row],[Dia Semana]],Riesgo!A:A,Riesgo!B:B)</f>
        <v>0</v>
      </c>
      <c r="E54" t="s">
        <v>49</v>
      </c>
      <c r="F54" s="17">
        <f>_xlfn.XLOOKUP(Tabla3[[#This Row],[Etapa]],Etapas!A:A,Etapas!B:B)</f>
        <v>5.0000000000000001E-3</v>
      </c>
      <c r="G54" s="17">
        <f>Tabla3[[#This Row],[% Op. Etapa]]*Tabla3[[#This Row],[Ratio]]</f>
        <v>0</v>
      </c>
      <c r="H54" s="17">
        <f>IF(Tabla3[[#This Row],[Noticia]]&gt;0,Tabla3[[#This Row],[% Esperado]]/2,Tabla3[[#This Row],[% Esperado]])</f>
        <v>0</v>
      </c>
      <c r="I54">
        <v>0</v>
      </c>
    </row>
    <row r="55" spans="1:9">
      <c r="A55" s="18">
        <v>46370</v>
      </c>
      <c r="B55" t="str">
        <f t="shared" si="0"/>
        <v>LUNES</v>
      </c>
      <c r="C55">
        <v>69</v>
      </c>
      <c r="D55">
        <f>_xlfn.XLOOKUP(Tabla3[[#This Row],[Dia Semana]],Riesgo!A:A,Riesgo!B:B)</f>
        <v>2</v>
      </c>
      <c r="E55" t="s">
        <v>49</v>
      </c>
      <c r="F55" s="17">
        <f>_xlfn.XLOOKUP(Tabla3[[#This Row],[Etapa]],Etapas!A:A,Etapas!B:B)</f>
        <v>5.0000000000000001E-3</v>
      </c>
      <c r="G55" s="17">
        <f>Tabla3[[#This Row],[% Op. Etapa]]*Tabla3[[#This Row],[Ratio]]</f>
        <v>0.01</v>
      </c>
      <c r="H55" s="17">
        <f>IF(Tabla3[[#This Row],[Noticia]]&gt;0,Tabla3[[#This Row],[% Esperado]]/2,Tabla3[[#This Row],[% Esperado]])</f>
        <v>0.01</v>
      </c>
      <c r="I55">
        <v>0</v>
      </c>
    </row>
    <row r="56" spans="1:9">
      <c r="A56" s="18">
        <v>46371</v>
      </c>
      <c r="B56" t="str">
        <f t="shared" si="0"/>
        <v>MARTES</v>
      </c>
      <c r="C56">
        <v>70</v>
      </c>
      <c r="D56">
        <f>_xlfn.XLOOKUP(Tabla3[[#This Row],[Dia Semana]],Riesgo!A:A,Riesgo!B:B)</f>
        <v>2</v>
      </c>
      <c r="E56" t="s">
        <v>49</v>
      </c>
      <c r="F56" s="17">
        <f>_xlfn.XLOOKUP(Tabla3[[#This Row],[Etapa]],Etapas!A:A,Etapas!B:B)</f>
        <v>5.0000000000000001E-3</v>
      </c>
      <c r="G56" s="17">
        <f>Tabla3[[#This Row],[% Op. Etapa]]*Tabla3[[#This Row],[Ratio]]</f>
        <v>0.01</v>
      </c>
      <c r="H56" s="17">
        <f>IF(Tabla3[[#This Row],[Noticia]]&gt;0,Tabla3[[#This Row],[% Esperado]]/2,Tabla3[[#This Row],[% Esperado]])</f>
        <v>0.01</v>
      </c>
      <c r="I56">
        <v>0</v>
      </c>
    </row>
    <row r="57" spans="1:9">
      <c r="A57" s="18">
        <v>46372</v>
      </c>
      <c r="B57" t="str">
        <f t="shared" si="0"/>
        <v>MIÉRCOLES</v>
      </c>
      <c r="C57">
        <v>71</v>
      </c>
      <c r="D57">
        <f>_xlfn.XLOOKUP(Tabla3[[#This Row],[Dia Semana]],Riesgo!A:A,Riesgo!B:B)</f>
        <v>1</v>
      </c>
      <c r="E57" t="s">
        <v>49</v>
      </c>
      <c r="F57" s="17">
        <f>_xlfn.XLOOKUP(Tabla3[[#This Row],[Etapa]],Etapas!A:A,Etapas!B:B)</f>
        <v>5.0000000000000001E-3</v>
      </c>
      <c r="G57" s="17">
        <f>Tabla3[[#This Row],[% Op. Etapa]]*Tabla3[[#This Row],[Ratio]]</f>
        <v>5.0000000000000001E-3</v>
      </c>
      <c r="H57" s="17">
        <f>IF(Tabla3[[#This Row],[Noticia]]&gt;0,Tabla3[[#This Row],[% Esperado]]/2,Tabla3[[#This Row],[% Esperado]])</f>
        <v>5.0000000000000001E-3</v>
      </c>
      <c r="I57">
        <v>0</v>
      </c>
    </row>
    <row r="58" spans="1:9">
      <c r="A58" s="18">
        <v>46373</v>
      </c>
      <c r="B58" t="str">
        <f t="shared" si="0"/>
        <v>JUEVES</v>
      </c>
      <c r="C58">
        <v>72</v>
      </c>
      <c r="D58">
        <f>_xlfn.XLOOKUP(Tabla3[[#This Row],[Dia Semana]],Riesgo!A:A,Riesgo!B:B)</f>
        <v>2</v>
      </c>
      <c r="E58" t="s">
        <v>49</v>
      </c>
      <c r="F58" s="17">
        <f>_xlfn.XLOOKUP(Tabla3[[#This Row],[Etapa]],Etapas!A:A,Etapas!B:B)</f>
        <v>5.0000000000000001E-3</v>
      </c>
      <c r="G58" s="17">
        <f>Tabla3[[#This Row],[% Op. Etapa]]*Tabla3[[#This Row],[Ratio]]</f>
        <v>0.01</v>
      </c>
      <c r="H58" s="17">
        <f>IF(Tabla3[[#This Row],[Noticia]]&gt;0,Tabla3[[#This Row],[% Esperado]]/2,Tabla3[[#This Row],[% Esperado]])</f>
        <v>0.01</v>
      </c>
      <c r="I58">
        <v>0</v>
      </c>
    </row>
    <row r="59" spans="1:9">
      <c r="A59" s="18">
        <v>46374</v>
      </c>
      <c r="B59" t="str">
        <f t="shared" si="0"/>
        <v>VIERNES</v>
      </c>
      <c r="C59">
        <v>73</v>
      </c>
      <c r="D59">
        <f>_xlfn.XLOOKUP(Tabla3[[#This Row],[Dia Semana]],Riesgo!A:A,Riesgo!B:B)</f>
        <v>1</v>
      </c>
      <c r="E59" t="s">
        <v>49</v>
      </c>
      <c r="F59" s="17">
        <f>_xlfn.XLOOKUP(Tabla3[[#This Row],[Etapa]],Etapas!A:A,Etapas!B:B)</f>
        <v>5.0000000000000001E-3</v>
      </c>
      <c r="G59" s="17">
        <f>Tabla3[[#This Row],[% Op. Etapa]]*Tabla3[[#This Row],[Ratio]]</f>
        <v>5.0000000000000001E-3</v>
      </c>
      <c r="H59" s="17">
        <f>IF(Tabla3[[#This Row],[Noticia]]&gt;0,Tabla3[[#This Row],[% Esperado]]/2,Tabla3[[#This Row],[% Esperado]])</f>
        <v>5.0000000000000001E-3</v>
      </c>
      <c r="I59">
        <v>0</v>
      </c>
    </row>
    <row r="60" spans="1:9">
      <c r="A60" s="18">
        <v>46375</v>
      </c>
      <c r="B60" t="str">
        <f t="shared" si="0"/>
        <v>SÁBADO</v>
      </c>
      <c r="C60">
        <v>74</v>
      </c>
      <c r="D60">
        <f>_xlfn.XLOOKUP(Tabla3[[#This Row],[Dia Semana]],Riesgo!A:A,Riesgo!B:B)</f>
        <v>0</v>
      </c>
      <c r="E60" t="s">
        <v>49</v>
      </c>
      <c r="F60" s="17">
        <f>_xlfn.XLOOKUP(Tabla3[[#This Row],[Etapa]],Etapas!A:A,Etapas!B:B)</f>
        <v>5.0000000000000001E-3</v>
      </c>
      <c r="G60" s="17">
        <f>Tabla3[[#This Row],[% Op. Etapa]]*Tabla3[[#This Row],[Ratio]]</f>
        <v>0</v>
      </c>
      <c r="H60" s="17">
        <f>IF(Tabla3[[#This Row],[Noticia]]&gt;0,Tabla3[[#This Row],[% Esperado]]/2,Tabla3[[#This Row],[% Esperado]])</f>
        <v>0</v>
      </c>
      <c r="I60">
        <v>0</v>
      </c>
    </row>
    <row r="61" spans="1:9">
      <c r="A61" s="18">
        <v>46376</v>
      </c>
      <c r="B61" t="str">
        <f t="shared" si="0"/>
        <v>DOMINGO</v>
      </c>
      <c r="C61">
        <v>75</v>
      </c>
      <c r="D61">
        <f>_xlfn.XLOOKUP(Tabla3[[#This Row],[Dia Semana]],Riesgo!A:A,Riesgo!B:B)</f>
        <v>0</v>
      </c>
      <c r="E61" t="s">
        <v>49</v>
      </c>
      <c r="F61" s="17">
        <f>_xlfn.XLOOKUP(Tabla3[[#This Row],[Etapa]],Etapas!A:A,Etapas!B:B)</f>
        <v>5.0000000000000001E-3</v>
      </c>
      <c r="G61" s="17">
        <f>Tabla3[[#This Row],[% Op. Etapa]]*Tabla3[[#This Row],[Ratio]]</f>
        <v>0</v>
      </c>
      <c r="H61" s="17">
        <f>IF(Tabla3[[#This Row],[Noticia]]&gt;0,Tabla3[[#This Row],[% Esperado]]/2,Tabla3[[#This Row],[% Esperado]])</f>
        <v>0</v>
      </c>
      <c r="I61">
        <v>0</v>
      </c>
    </row>
    <row r="62" spans="1:9">
      <c r="A62" s="18">
        <v>46377</v>
      </c>
      <c r="B62" t="str">
        <f t="shared" si="0"/>
        <v>LUNES</v>
      </c>
      <c r="C62">
        <v>76</v>
      </c>
      <c r="D62">
        <f>_xlfn.XLOOKUP(Tabla3[[#This Row],[Dia Semana]],Riesgo!A:A,Riesgo!B:B)</f>
        <v>2</v>
      </c>
      <c r="E62" t="s">
        <v>49</v>
      </c>
      <c r="F62" s="17">
        <f>_xlfn.XLOOKUP(Tabla3[[#This Row],[Etapa]],Etapas!A:A,Etapas!B:B)</f>
        <v>5.0000000000000001E-3</v>
      </c>
      <c r="G62" s="17">
        <f>Tabla3[[#This Row],[% Op. Etapa]]*Tabla3[[#This Row],[Ratio]]</f>
        <v>0.01</v>
      </c>
      <c r="H62" s="17">
        <f>IF(Tabla3[[#This Row],[Noticia]]&gt;0,Tabla3[[#This Row],[% Esperado]]/2,Tabla3[[#This Row],[% Esperado]])</f>
        <v>0.01</v>
      </c>
      <c r="I62">
        <v>0</v>
      </c>
    </row>
    <row r="63" spans="1:9">
      <c r="A63" s="18">
        <v>46378</v>
      </c>
      <c r="B63" t="str">
        <f t="shared" si="0"/>
        <v>MARTES</v>
      </c>
      <c r="C63">
        <v>77</v>
      </c>
      <c r="D63">
        <f>_xlfn.XLOOKUP(Tabla3[[#This Row],[Dia Semana]],Riesgo!A:A,Riesgo!B:B)</f>
        <v>2</v>
      </c>
      <c r="E63" t="s">
        <v>49</v>
      </c>
      <c r="F63" s="17">
        <f>_xlfn.XLOOKUP(Tabla3[[#This Row],[Etapa]],Etapas!A:A,Etapas!B:B)</f>
        <v>5.0000000000000001E-3</v>
      </c>
      <c r="G63" s="17">
        <f>Tabla3[[#This Row],[% Op. Etapa]]*Tabla3[[#This Row],[Ratio]]</f>
        <v>0.01</v>
      </c>
      <c r="H63" s="17">
        <f>IF(Tabla3[[#This Row],[Noticia]]&gt;0,Tabla3[[#This Row],[% Esperado]]/2,Tabla3[[#This Row],[% Esperado]])</f>
        <v>0.01</v>
      </c>
      <c r="I63">
        <v>0</v>
      </c>
    </row>
    <row r="64" spans="1:9">
      <c r="A64" s="18">
        <v>46379</v>
      </c>
      <c r="B64" t="str">
        <f t="shared" si="0"/>
        <v>MIÉRCOLES</v>
      </c>
      <c r="C64">
        <v>78</v>
      </c>
      <c r="D64">
        <f>_xlfn.XLOOKUP(Tabla3[[#This Row],[Dia Semana]],Riesgo!A:A,Riesgo!B:B)</f>
        <v>1</v>
      </c>
      <c r="E64" t="s">
        <v>49</v>
      </c>
      <c r="F64" s="17">
        <f>_xlfn.XLOOKUP(Tabla3[[#This Row],[Etapa]],Etapas!A:A,Etapas!B:B)</f>
        <v>5.0000000000000001E-3</v>
      </c>
      <c r="G64" s="17">
        <f>Tabla3[[#This Row],[% Op. Etapa]]*Tabla3[[#This Row],[Ratio]]</f>
        <v>5.0000000000000001E-3</v>
      </c>
      <c r="H64" s="17">
        <f>IF(Tabla3[[#This Row],[Noticia]]&gt;0,Tabla3[[#This Row],[% Esperado]]/2,Tabla3[[#This Row],[% Esperado]])</f>
        <v>5.0000000000000001E-3</v>
      </c>
      <c r="I64">
        <v>0</v>
      </c>
    </row>
    <row r="65" spans="1:9">
      <c r="A65" s="18">
        <v>46380</v>
      </c>
      <c r="B65" t="str">
        <f t="shared" si="0"/>
        <v>JUEVES</v>
      </c>
      <c r="C65">
        <v>79</v>
      </c>
      <c r="D65">
        <f>_xlfn.XLOOKUP(Tabla3[[#This Row],[Dia Semana]],Riesgo!A:A,Riesgo!B:B)</f>
        <v>2</v>
      </c>
      <c r="E65" t="s">
        <v>49</v>
      </c>
      <c r="F65" s="17">
        <f>_xlfn.XLOOKUP(Tabla3[[#This Row],[Etapa]],Etapas!A:A,Etapas!B:B)</f>
        <v>5.0000000000000001E-3</v>
      </c>
      <c r="G65" s="17">
        <f>Tabla3[[#This Row],[% Op. Etapa]]*Tabla3[[#This Row],[Ratio]]</f>
        <v>0.01</v>
      </c>
      <c r="H65" s="17">
        <f>IF(Tabla3[[#This Row],[Noticia]]&gt;0,Tabla3[[#This Row],[% Esperado]]/2,Tabla3[[#This Row],[% Esperado]])</f>
        <v>0.01</v>
      </c>
      <c r="I65">
        <v>0</v>
      </c>
    </row>
    <row r="66" spans="1:9">
      <c r="A66" s="18">
        <v>46381</v>
      </c>
      <c r="B66" t="str">
        <f t="shared" ref="B66:B129" si="1">UPPER(TEXT(A66,"dddd"))</f>
        <v>VIERNES</v>
      </c>
      <c r="C66">
        <v>80</v>
      </c>
      <c r="D66">
        <f>_xlfn.XLOOKUP(Tabla3[[#This Row],[Dia Semana]],Riesgo!A:A,Riesgo!B:B)</f>
        <v>1</v>
      </c>
      <c r="E66" t="s">
        <v>49</v>
      </c>
      <c r="F66" s="17">
        <f>_xlfn.XLOOKUP(Tabla3[[#This Row],[Etapa]],Etapas!A:A,Etapas!B:B)</f>
        <v>5.0000000000000001E-3</v>
      </c>
      <c r="G66" s="17">
        <f>Tabla3[[#This Row],[% Op. Etapa]]*Tabla3[[#This Row],[Ratio]]</f>
        <v>5.0000000000000001E-3</v>
      </c>
      <c r="H66" s="17">
        <f>IF(Tabla3[[#This Row],[Noticia]]&gt;0,Tabla3[[#This Row],[% Esperado]]/2,Tabla3[[#This Row],[% Esperado]])</f>
        <v>5.0000000000000001E-3</v>
      </c>
      <c r="I66">
        <v>0</v>
      </c>
    </row>
    <row r="67" spans="1:9">
      <c r="A67" s="18">
        <v>46382</v>
      </c>
      <c r="B67" t="str">
        <f t="shared" si="1"/>
        <v>SÁBADO</v>
      </c>
      <c r="C67">
        <v>81</v>
      </c>
      <c r="D67">
        <f>_xlfn.XLOOKUP(Tabla3[[#This Row],[Dia Semana]],Riesgo!A:A,Riesgo!B:B)</f>
        <v>0</v>
      </c>
      <c r="E67" t="s">
        <v>49</v>
      </c>
      <c r="F67" s="17">
        <f>_xlfn.XLOOKUP(Tabla3[[#This Row],[Etapa]],Etapas!A:A,Etapas!B:B)</f>
        <v>5.0000000000000001E-3</v>
      </c>
      <c r="G67" s="17">
        <f>Tabla3[[#This Row],[% Op. Etapa]]*Tabla3[[#This Row],[Ratio]]</f>
        <v>0</v>
      </c>
      <c r="H67" s="17">
        <f>IF(Tabla3[[#This Row],[Noticia]]&gt;0,Tabla3[[#This Row],[% Esperado]]/2,Tabla3[[#This Row],[% Esperado]])</f>
        <v>0</v>
      </c>
      <c r="I67">
        <v>0</v>
      </c>
    </row>
    <row r="68" spans="1:9">
      <c r="A68" s="18">
        <v>46383</v>
      </c>
      <c r="B68" t="str">
        <f t="shared" si="1"/>
        <v>DOMINGO</v>
      </c>
      <c r="C68">
        <v>82</v>
      </c>
      <c r="D68">
        <f>_xlfn.XLOOKUP(Tabla3[[#This Row],[Dia Semana]],Riesgo!A:A,Riesgo!B:B)</f>
        <v>0</v>
      </c>
      <c r="E68" t="s">
        <v>49</v>
      </c>
      <c r="F68" s="17">
        <f>_xlfn.XLOOKUP(Tabla3[[#This Row],[Etapa]],Etapas!A:A,Etapas!B:B)</f>
        <v>5.0000000000000001E-3</v>
      </c>
      <c r="G68" s="17">
        <f>Tabla3[[#This Row],[% Op. Etapa]]*Tabla3[[#This Row],[Ratio]]</f>
        <v>0</v>
      </c>
      <c r="H68" s="17">
        <f>IF(Tabla3[[#This Row],[Noticia]]&gt;0,Tabla3[[#This Row],[% Esperado]]/2,Tabla3[[#This Row],[% Esperado]])</f>
        <v>0</v>
      </c>
      <c r="I68">
        <v>0</v>
      </c>
    </row>
    <row r="69" spans="1:9">
      <c r="A69" s="18">
        <v>46384</v>
      </c>
      <c r="B69" t="str">
        <f t="shared" si="1"/>
        <v>LUNES</v>
      </c>
      <c r="C69">
        <v>83</v>
      </c>
      <c r="D69">
        <f>_xlfn.XLOOKUP(Tabla3[[#This Row],[Dia Semana]],Riesgo!A:A,Riesgo!B:B)</f>
        <v>2</v>
      </c>
      <c r="E69" t="s">
        <v>49</v>
      </c>
      <c r="F69" s="17">
        <f>_xlfn.XLOOKUP(Tabla3[[#This Row],[Etapa]],Etapas!A:A,Etapas!B:B)</f>
        <v>5.0000000000000001E-3</v>
      </c>
      <c r="G69" s="17">
        <f>Tabla3[[#This Row],[% Op. Etapa]]*Tabla3[[#This Row],[Ratio]]</f>
        <v>0.01</v>
      </c>
      <c r="H69" s="17">
        <f>IF(Tabla3[[#This Row],[Noticia]]&gt;0,Tabla3[[#This Row],[% Esperado]]/2,Tabla3[[#This Row],[% Esperado]])</f>
        <v>0.01</v>
      </c>
      <c r="I69">
        <v>0</v>
      </c>
    </row>
    <row r="70" spans="1:9">
      <c r="A70" s="18">
        <v>46385</v>
      </c>
      <c r="B70" t="str">
        <f t="shared" si="1"/>
        <v>MARTES</v>
      </c>
      <c r="C70">
        <v>84</v>
      </c>
      <c r="D70">
        <f>_xlfn.XLOOKUP(Tabla3[[#This Row],[Dia Semana]],Riesgo!A:A,Riesgo!B:B)</f>
        <v>2</v>
      </c>
      <c r="E70" t="s">
        <v>49</v>
      </c>
      <c r="F70" s="17">
        <f>_xlfn.XLOOKUP(Tabla3[[#This Row],[Etapa]],Etapas!A:A,Etapas!B:B)</f>
        <v>5.0000000000000001E-3</v>
      </c>
      <c r="G70" s="17">
        <f>Tabla3[[#This Row],[% Op. Etapa]]*Tabla3[[#This Row],[Ratio]]</f>
        <v>0.01</v>
      </c>
      <c r="H70" s="17">
        <f>IF(Tabla3[[#This Row],[Noticia]]&gt;0,Tabla3[[#This Row],[% Esperado]]/2,Tabla3[[#This Row],[% Esperado]])</f>
        <v>0.01</v>
      </c>
      <c r="I70">
        <v>0</v>
      </c>
    </row>
    <row r="71" spans="1:9">
      <c r="A71" s="18">
        <v>46386</v>
      </c>
      <c r="B71" t="str">
        <f t="shared" si="1"/>
        <v>MIÉRCOLES</v>
      </c>
      <c r="C71">
        <v>85</v>
      </c>
      <c r="D71">
        <f>_xlfn.XLOOKUP(Tabla3[[#This Row],[Dia Semana]],Riesgo!A:A,Riesgo!B:B)</f>
        <v>1</v>
      </c>
      <c r="E71" t="s">
        <v>49</v>
      </c>
      <c r="F71" s="17">
        <f>_xlfn.XLOOKUP(Tabla3[[#This Row],[Etapa]],Etapas!A:A,Etapas!B:B)</f>
        <v>5.0000000000000001E-3</v>
      </c>
      <c r="G71" s="17">
        <f>Tabla3[[#This Row],[% Op. Etapa]]*Tabla3[[#This Row],[Ratio]]</f>
        <v>5.0000000000000001E-3</v>
      </c>
      <c r="H71" s="17">
        <f>IF(Tabla3[[#This Row],[Noticia]]&gt;0,Tabla3[[#This Row],[% Esperado]]/2,Tabla3[[#This Row],[% Esperado]])</f>
        <v>5.0000000000000001E-3</v>
      </c>
      <c r="I71">
        <v>0</v>
      </c>
    </row>
    <row r="72" spans="1:9">
      <c r="A72" s="18">
        <v>46387</v>
      </c>
      <c r="B72" t="str">
        <f t="shared" si="1"/>
        <v>JUEVES</v>
      </c>
      <c r="C72">
        <v>86</v>
      </c>
      <c r="D72">
        <f>_xlfn.XLOOKUP(Tabla3[[#This Row],[Dia Semana]],Riesgo!A:A,Riesgo!B:B)</f>
        <v>2</v>
      </c>
      <c r="E72" t="s">
        <v>49</v>
      </c>
      <c r="F72" s="17">
        <f>_xlfn.XLOOKUP(Tabla3[[#This Row],[Etapa]],Etapas!A:A,Etapas!B:B)</f>
        <v>5.0000000000000001E-3</v>
      </c>
      <c r="G72" s="17">
        <f>Tabla3[[#This Row],[% Op. Etapa]]*Tabla3[[#This Row],[Ratio]]</f>
        <v>0.01</v>
      </c>
      <c r="H72" s="17">
        <f>IF(Tabla3[[#This Row],[Noticia]]&gt;0,Tabla3[[#This Row],[% Esperado]]/2,Tabla3[[#This Row],[% Esperado]])</f>
        <v>0.01</v>
      </c>
      <c r="I72">
        <v>0</v>
      </c>
    </row>
    <row r="73" spans="1:9">
      <c r="A73" s="18">
        <v>46388</v>
      </c>
      <c r="B73" t="str">
        <f t="shared" si="1"/>
        <v>VIERNES</v>
      </c>
      <c r="C73">
        <v>87</v>
      </c>
      <c r="D73">
        <f>_xlfn.XLOOKUP(Tabla3[[#This Row],[Dia Semana]],Riesgo!A:A,Riesgo!B:B)</f>
        <v>1</v>
      </c>
      <c r="F73" s="17">
        <f>_xlfn.XLOOKUP(Tabla3[[#This Row],[Etapa]],Etapas!A:A,Etapas!B:B)</f>
        <v>0</v>
      </c>
      <c r="G73" s="17">
        <f>Tabla3[[#This Row],[% Op. Etapa]]*Tabla3[[#This Row],[Ratio]]</f>
        <v>0</v>
      </c>
      <c r="H73" s="17">
        <f>IF(Tabla3[[#This Row],[Noticia]]&gt;0,Tabla3[[#This Row],[% Esperado]]/2,Tabla3[[#This Row],[% Esperado]])</f>
        <v>0</v>
      </c>
      <c r="I73">
        <v>0</v>
      </c>
    </row>
    <row r="74" spans="1:9">
      <c r="A74" s="18">
        <v>46389</v>
      </c>
      <c r="B74" t="str">
        <f t="shared" si="1"/>
        <v>SÁBADO</v>
      </c>
      <c r="C74">
        <v>88</v>
      </c>
      <c r="D74">
        <f>_xlfn.XLOOKUP(Tabla3[[#This Row],[Dia Semana]],Riesgo!A:A,Riesgo!B:B)</f>
        <v>0</v>
      </c>
      <c r="F74" s="17">
        <f>_xlfn.XLOOKUP(Tabla3[[#This Row],[Etapa]],Etapas!A:A,Etapas!B:B)</f>
        <v>0</v>
      </c>
      <c r="G74" s="17">
        <f>Tabla3[[#This Row],[% Op. Etapa]]*Tabla3[[#This Row],[Ratio]]</f>
        <v>0</v>
      </c>
      <c r="H74" s="17">
        <f>IF(Tabla3[[#This Row],[Noticia]]&gt;0,Tabla3[[#This Row],[% Esperado]]/2,Tabla3[[#This Row],[% Esperado]])</f>
        <v>0</v>
      </c>
      <c r="I74">
        <v>0</v>
      </c>
    </row>
    <row r="75" spans="1:9">
      <c r="A75" s="18">
        <v>46390</v>
      </c>
      <c r="B75" t="str">
        <f t="shared" si="1"/>
        <v>DOMINGO</v>
      </c>
      <c r="C75">
        <v>89</v>
      </c>
      <c r="D75">
        <f>_xlfn.XLOOKUP(Tabla3[[#This Row],[Dia Semana]],Riesgo!A:A,Riesgo!B:B)</f>
        <v>0</v>
      </c>
      <c r="F75" s="17">
        <f>_xlfn.XLOOKUP(Tabla3[[#This Row],[Etapa]],Etapas!A:A,Etapas!B:B)</f>
        <v>0</v>
      </c>
      <c r="G75" s="17">
        <f>Tabla3[[#This Row],[% Op. Etapa]]*Tabla3[[#This Row],[Ratio]]</f>
        <v>0</v>
      </c>
      <c r="H75" s="17">
        <f>IF(Tabla3[[#This Row],[Noticia]]&gt;0,Tabla3[[#This Row],[% Esperado]]/2,Tabla3[[#This Row],[% Esperado]])</f>
        <v>0</v>
      </c>
      <c r="I75">
        <v>0</v>
      </c>
    </row>
    <row r="76" spans="1:9">
      <c r="A76" s="18">
        <v>46391</v>
      </c>
      <c r="B76" t="str">
        <f t="shared" si="1"/>
        <v>LUNES</v>
      </c>
      <c r="C76">
        <v>90</v>
      </c>
      <c r="D76">
        <f>_xlfn.XLOOKUP(Tabla3[[#This Row],[Dia Semana]],Riesgo!A:A,Riesgo!B:B)</f>
        <v>2</v>
      </c>
      <c r="F76" s="17">
        <f>_xlfn.XLOOKUP(Tabla3[[#This Row],[Etapa]],Etapas!A:A,Etapas!B:B)</f>
        <v>0</v>
      </c>
      <c r="G76" s="17">
        <f>Tabla3[[#This Row],[% Op. Etapa]]*Tabla3[[#This Row],[Ratio]]</f>
        <v>0</v>
      </c>
      <c r="H76" s="17">
        <f>IF(Tabla3[[#This Row],[Noticia]]&gt;0,Tabla3[[#This Row],[% Esperado]]/2,Tabla3[[#This Row],[% Esperado]])</f>
        <v>0</v>
      </c>
      <c r="I76">
        <v>0</v>
      </c>
    </row>
    <row r="77" spans="1:9">
      <c r="A77" s="18">
        <v>46392</v>
      </c>
      <c r="B77" t="str">
        <f t="shared" si="1"/>
        <v>MARTES</v>
      </c>
      <c r="C77">
        <v>91</v>
      </c>
      <c r="D77">
        <f>_xlfn.XLOOKUP(Tabla3[[#This Row],[Dia Semana]],Riesgo!A:A,Riesgo!B:B)</f>
        <v>2</v>
      </c>
      <c r="F77" s="17">
        <f>_xlfn.XLOOKUP(Tabla3[[#This Row],[Etapa]],Etapas!A:A,Etapas!B:B)</f>
        <v>0</v>
      </c>
      <c r="G77" s="17">
        <f>Tabla3[[#This Row],[% Op. Etapa]]*Tabla3[[#This Row],[Ratio]]</f>
        <v>0</v>
      </c>
      <c r="H77" s="17">
        <f>IF(Tabla3[[#This Row],[Noticia]]&gt;0,Tabla3[[#This Row],[% Esperado]]/2,Tabla3[[#This Row],[% Esperado]])</f>
        <v>0</v>
      </c>
      <c r="I77">
        <v>0</v>
      </c>
    </row>
    <row r="78" spans="1:9">
      <c r="A78" s="18">
        <v>46393</v>
      </c>
      <c r="B78" t="str">
        <f t="shared" si="1"/>
        <v>MIÉRCOLES</v>
      </c>
      <c r="C78">
        <v>92</v>
      </c>
      <c r="D78">
        <f>_xlfn.XLOOKUP(Tabla3[[#This Row],[Dia Semana]],Riesgo!A:A,Riesgo!B:B)</f>
        <v>1</v>
      </c>
      <c r="F78" s="17">
        <f>_xlfn.XLOOKUP(Tabla3[[#This Row],[Etapa]],Etapas!A:A,Etapas!B:B)</f>
        <v>0</v>
      </c>
      <c r="G78" s="17">
        <f>Tabla3[[#This Row],[% Op. Etapa]]*Tabla3[[#This Row],[Ratio]]</f>
        <v>0</v>
      </c>
      <c r="H78" s="17">
        <f>IF(Tabla3[[#This Row],[Noticia]]&gt;0,Tabla3[[#This Row],[% Esperado]]/2,Tabla3[[#This Row],[% Esperado]])</f>
        <v>0</v>
      </c>
      <c r="I78">
        <v>0</v>
      </c>
    </row>
    <row r="79" spans="1:9">
      <c r="A79" s="18">
        <v>46394</v>
      </c>
      <c r="B79" t="str">
        <f t="shared" si="1"/>
        <v>JUEVES</v>
      </c>
      <c r="C79">
        <v>93</v>
      </c>
      <c r="D79">
        <f>_xlfn.XLOOKUP(Tabla3[[#This Row],[Dia Semana]],Riesgo!A:A,Riesgo!B:B)</f>
        <v>2</v>
      </c>
      <c r="F79" s="17">
        <f>_xlfn.XLOOKUP(Tabla3[[#This Row],[Etapa]],Etapas!A:A,Etapas!B:B)</f>
        <v>0</v>
      </c>
      <c r="G79" s="17">
        <f>Tabla3[[#This Row],[% Op. Etapa]]*Tabla3[[#This Row],[Ratio]]</f>
        <v>0</v>
      </c>
      <c r="H79" s="17">
        <f>IF(Tabla3[[#This Row],[Noticia]]&gt;0,Tabla3[[#This Row],[% Esperado]]/2,Tabla3[[#This Row],[% Esperado]])</f>
        <v>0</v>
      </c>
      <c r="I79">
        <v>0</v>
      </c>
    </row>
    <row r="80" spans="1:9">
      <c r="A80" s="18">
        <v>46395</v>
      </c>
      <c r="B80" t="str">
        <f t="shared" si="1"/>
        <v>VIERNES</v>
      </c>
      <c r="C80">
        <v>94</v>
      </c>
      <c r="D80">
        <f>_xlfn.XLOOKUP(Tabla3[[#This Row],[Dia Semana]],Riesgo!A:A,Riesgo!B:B)</f>
        <v>1</v>
      </c>
      <c r="F80" s="17">
        <f>_xlfn.XLOOKUP(Tabla3[[#This Row],[Etapa]],Etapas!A:A,Etapas!B:B)</f>
        <v>0</v>
      </c>
      <c r="G80" s="17">
        <f>Tabla3[[#This Row],[% Op. Etapa]]*Tabla3[[#This Row],[Ratio]]</f>
        <v>0</v>
      </c>
      <c r="H80" s="17">
        <f>IF(Tabla3[[#This Row],[Noticia]]&gt;0,Tabla3[[#This Row],[% Esperado]]/2,Tabla3[[#This Row],[% Esperado]])</f>
        <v>0</v>
      </c>
      <c r="I80">
        <v>0</v>
      </c>
    </row>
    <row r="81" spans="1:9">
      <c r="A81" s="18">
        <v>46396</v>
      </c>
      <c r="B81" t="str">
        <f t="shared" si="1"/>
        <v>SÁBADO</v>
      </c>
      <c r="C81">
        <v>95</v>
      </c>
      <c r="D81">
        <f>_xlfn.XLOOKUP(Tabla3[[#This Row],[Dia Semana]],Riesgo!A:A,Riesgo!B:B)</f>
        <v>0</v>
      </c>
      <c r="F81" s="17">
        <f>_xlfn.XLOOKUP(Tabla3[[#This Row],[Etapa]],Etapas!A:A,Etapas!B:B)</f>
        <v>0</v>
      </c>
      <c r="G81" s="17">
        <f>Tabla3[[#This Row],[% Op. Etapa]]*Tabla3[[#This Row],[Ratio]]</f>
        <v>0</v>
      </c>
      <c r="H81" s="17">
        <f>IF(Tabla3[[#This Row],[Noticia]]&gt;0,Tabla3[[#This Row],[% Esperado]]/2,Tabla3[[#This Row],[% Esperado]])</f>
        <v>0</v>
      </c>
      <c r="I81">
        <v>0</v>
      </c>
    </row>
    <row r="82" spans="1:9">
      <c r="A82" s="18">
        <v>46397</v>
      </c>
      <c r="B82" t="str">
        <f t="shared" si="1"/>
        <v>DOMINGO</v>
      </c>
      <c r="C82">
        <v>96</v>
      </c>
      <c r="D82">
        <f>_xlfn.XLOOKUP(Tabla3[[#This Row],[Dia Semana]],Riesgo!A:A,Riesgo!B:B)</f>
        <v>0</v>
      </c>
      <c r="F82" s="17">
        <f>_xlfn.XLOOKUP(Tabla3[[#This Row],[Etapa]],Etapas!A:A,Etapas!B:B)</f>
        <v>0</v>
      </c>
      <c r="G82" s="17">
        <f>Tabla3[[#This Row],[% Op. Etapa]]*Tabla3[[#This Row],[Ratio]]</f>
        <v>0</v>
      </c>
      <c r="H82" s="17">
        <f>IF(Tabla3[[#This Row],[Noticia]]&gt;0,Tabla3[[#This Row],[% Esperado]]/2,Tabla3[[#This Row],[% Esperado]])</f>
        <v>0</v>
      </c>
      <c r="I82">
        <v>0</v>
      </c>
    </row>
    <row r="83" spans="1:9">
      <c r="A83" s="18">
        <v>46398</v>
      </c>
      <c r="B83" t="str">
        <f t="shared" si="1"/>
        <v>LUNES</v>
      </c>
      <c r="C83">
        <v>97</v>
      </c>
      <c r="D83">
        <f>_xlfn.XLOOKUP(Tabla3[[#This Row],[Dia Semana]],Riesgo!A:A,Riesgo!B:B)</f>
        <v>2</v>
      </c>
      <c r="F83" s="17">
        <f>_xlfn.XLOOKUP(Tabla3[[#This Row],[Etapa]],Etapas!A:A,Etapas!B:B)</f>
        <v>0</v>
      </c>
      <c r="G83" s="17">
        <f>Tabla3[[#This Row],[% Op. Etapa]]*Tabla3[[#This Row],[Ratio]]</f>
        <v>0</v>
      </c>
      <c r="H83" s="17">
        <f>IF(Tabla3[[#This Row],[Noticia]]&gt;0,Tabla3[[#This Row],[% Esperado]]/2,Tabla3[[#This Row],[% Esperado]])</f>
        <v>0</v>
      </c>
      <c r="I83">
        <v>0</v>
      </c>
    </row>
    <row r="84" spans="1:9">
      <c r="A84" s="18">
        <v>46399</v>
      </c>
      <c r="B84" t="str">
        <f t="shared" si="1"/>
        <v>MARTES</v>
      </c>
      <c r="C84">
        <v>98</v>
      </c>
      <c r="D84">
        <f>_xlfn.XLOOKUP(Tabla3[[#This Row],[Dia Semana]],Riesgo!A:A,Riesgo!B:B)</f>
        <v>2</v>
      </c>
      <c r="F84" s="17">
        <f>_xlfn.XLOOKUP(Tabla3[[#This Row],[Etapa]],Etapas!A:A,Etapas!B:B)</f>
        <v>0</v>
      </c>
      <c r="G84" s="17">
        <f>Tabla3[[#This Row],[% Op. Etapa]]*Tabla3[[#This Row],[Ratio]]</f>
        <v>0</v>
      </c>
      <c r="H84" s="17">
        <f>IF(Tabla3[[#This Row],[Noticia]]&gt;0,Tabla3[[#This Row],[% Esperado]]/2,Tabla3[[#This Row],[% Esperado]])</f>
        <v>0</v>
      </c>
      <c r="I84">
        <v>0</v>
      </c>
    </row>
    <row r="85" spans="1:9">
      <c r="A85" s="18">
        <v>46400</v>
      </c>
      <c r="B85" t="str">
        <f t="shared" si="1"/>
        <v>MIÉRCOLES</v>
      </c>
      <c r="C85">
        <v>99</v>
      </c>
      <c r="D85">
        <f>_xlfn.XLOOKUP(Tabla3[[#This Row],[Dia Semana]],Riesgo!A:A,Riesgo!B:B)</f>
        <v>1</v>
      </c>
      <c r="F85" s="17">
        <f>_xlfn.XLOOKUP(Tabla3[[#This Row],[Etapa]],Etapas!A:A,Etapas!B:B)</f>
        <v>0</v>
      </c>
      <c r="G85" s="17">
        <f>Tabla3[[#This Row],[% Op. Etapa]]*Tabla3[[#This Row],[Ratio]]</f>
        <v>0</v>
      </c>
      <c r="H85" s="17">
        <f>IF(Tabla3[[#This Row],[Noticia]]&gt;0,Tabla3[[#This Row],[% Esperado]]/2,Tabla3[[#This Row],[% Esperado]])</f>
        <v>0</v>
      </c>
      <c r="I85">
        <v>0</v>
      </c>
    </row>
    <row r="86" spans="1:9">
      <c r="A86" s="18">
        <v>46401</v>
      </c>
      <c r="B86" t="str">
        <f t="shared" si="1"/>
        <v>JUEVES</v>
      </c>
      <c r="C86">
        <v>100</v>
      </c>
      <c r="D86">
        <f>_xlfn.XLOOKUP(Tabla3[[#This Row],[Dia Semana]],Riesgo!A:A,Riesgo!B:B)</f>
        <v>2</v>
      </c>
      <c r="F86" s="17">
        <f>_xlfn.XLOOKUP(Tabla3[[#This Row],[Etapa]],Etapas!A:A,Etapas!B:B)</f>
        <v>0</v>
      </c>
      <c r="G86" s="17">
        <f>Tabla3[[#This Row],[% Op. Etapa]]*Tabla3[[#This Row],[Ratio]]</f>
        <v>0</v>
      </c>
      <c r="H86" s="17">
        <f>IF(Tabla3[[#This Row],[Noticia]]&gt;0,Tabla3[[#This Row],[% Esperado]]/2,Tabla3[[#This Row],[% Esperado]])</f>
        <v>0</v>
      </c>
      <c r="I86">
        <v>0</v>
      </c>
    </row>
    <row r="87" spans="1:9">
      <c r="A87" s="18">
        <v>46402</v>
      </c>
      <c r="B87" t="str">
        <f t="shared" si="1"/>
        <v>VIERNES</v>
      </c>
      <c r="C87">
        <v>101</v>
      </c>
      <c r="D87">
        <f>_xlfn.XLOOKUP(Tabla3[[#This Row],[Dia Semana]],Riesgo!A:A,Riesgo!B:B)</f>
        <v>1</v>
      </c>
      <c r="F87" s="17">
        <f>_xlfn.XLOOKUP(Tabla3[[#This Row],[Etapa]],Etapas!A:A,Etapas!B:B)</f>
        <v>0</v>
      </c>
      <c r="G87" s="17">
        <f>Tabla3[[#This Row],[% Op. Etapa]]*Tabla3[[#This Row],[Ratio]]</f>
        <v>0</v>
      </c>
      <c r="H87" s="17">
        <f>IF(Tabla3[[#This Row],[Noticia]]&gt;0,Tabla3[[#This Row],[% Esperado]]/2,Tabla3[[#This Row],[% Esperado]])</f>
        <v>0</v>
      </c>
      <c r="I87">
        <v>0</v>
      </c>
    </row>
    <row r="88" spans="1:9">
      <c r="A88" s="18">
        <v>46403</v>
      </c>
      <c r="B88" t="str">
        <f t="shared" si="1"/>
        <v>SÁBADO</v>
      </c>
      <c r="C88">
        <v>102</v>
      </c>
      <c r="D88">
        <f>_xlfn.XLOOKUP(Tabla3[[#This Row],[Dia Semana]],Riesgo!A:A,Riesgo!B:B)</f>
        <v>0</v>
      </c>
      <c r="F88" s="17">
        <f>_xlfn.XLOOKUP(Tabla3[[#This Row],[Etapa]],Etapas!A:A,Etapas!B:B)</f>
        <v>0</v>
      </c>
      <c r="G88" s="17">
        <f>Tabla3[[#This Row],[% Op. Etapa]]*Tabla3[[#This Row],[Ratio]]</f>
        <v>0</v>
      </c>
      <c r="H88" s="17">
        <f>IF(Tabla3[[#This Row],[Noticia]]&gt;0,Tabla3[[#This Row],[% Esperado]]/2,Tabla3[[#This Row],[% Esperado]])</f>
        <v>0</v>
      </c>
      <c r="I88">
        <v>0</v>
      </c>
    </row>
    <row r="89" spans="1:9">
      <c r="A89" s="18">
        <v>46404</v>
      </c>
      <c r="B89" t="str">
        <f t="shared" si="1"/>
        <v>DOMINGO</v>
      </c>
      <c r="C89">
        <v>103</v>
      </c>
      <c r="D89">
        <f>_xlfn.XLOOKUP(Tabla3[[#This Row],[Dia Semana]],Riesgo!A:A,Riesgo!B:B)</f>
        <v>0</v>
      </c>
      <c r="F89" s="17">
        <f>_xlfn.XLOOKUP(Tabla3[[#This Row],[Etapa]],Etapas!A:A,Etapas!B:B)</f>
        <v>0</v>
      </c>
      <c r="G89" s="17">
        <f>Tabla3[[#This Row],[% Op. Etapa]]*Tabla3[[#This Row],[Ratio]]</f>
        <v>0</v>
      </c>
      <c r="H89" s="17">
        <f>IF(Tabla3[[#This Row],[Noticia]]&gt;0,Tabla3[[#This Row],[% Esperado]]/2,Tabla3[[#This Row],[% Esperado]])</f>
        <v>0</v>
      </c>
      <c r="I89">
        <v>0</v>
      </c>
    </row>
    <row r="90" spans="1:9">
      <c r="A90" s="18">
        <v>46405</v>
      </c>
      <c r="B90" t="str">
        <f t="shared" si="1"/>
        <v>LUNES</v>
      </c>
      <c r="C90">
        <v>104</v>
      </c>
      <c r="D90">
        <f>_xlfn.XLOOKUP(Tabla3[[#This Row],[Dia Semana]],Riesgo!A:A,Riesgo!B:B)</f>
        <v>2</v>
      </c>
      <c r="F90" s="17">
        <f>_xlfn.XLOOKUP(Tabla3[[#This Row],[Etapa]],Etapas!A:A,Etapas!B:B)</f>
        <v>0</v>
      </c>
      <c r="G90" s="17">
        <f>Tabla3[[#This Row],[% Op. Etapa]]*Tabla3[[#This Row],[Ratio]]</f>
        <v>0</v>
      </c>
      <c r="H90" s="17">
        <f>IF(Tabla3[[#This Row],[Noticia]]&gt;0,Tabla3[[#This Row],[% Esperado]]/2,Tabla3[[#This Row],[% Esperado]])</f>
        <v>0</v>
      </c>
      <c r="I90">
        <v>0</v>
      </c>
    </row>
    <row r="91" spans="1:9">
      <c r="A91" s="18">
        <v>46406</v>
      </c>
      <c r="B91" t="str">
        <f t="shared" si="1"/>
        <v>MARTES</v>
      </c>
      <c r="C91">
        <v>105</v>
      </c>
      <c r="D91">
        <f>_xlfn.XLOOKUP(Tabla3[[#This Row],[Dia Semana]],Riesgo!A:A,Riesgo!B:B)</f>
        <v>2</v>
      </c>
      <c r="F91" s="17">
        <f>_xlfn.XLOOKUP(Tabla3[[#This Row],[Etapa]],Etapas!A:A,Etapas!B:B)</f>
        <v>0</v>
      </c>
      <c r="G91" s="17">
        <f>Tabla3[[#This Row],[% Op. Etapa]]*Tabla3[[#This Row],[Ratio]]</f>
        <v>0</v>
      </c>
      <c r="H91" s="17">
        <f>IF(Tabla3[[#This Row],[Noticia]]&gt;0,Tabla3[[#This Row],[% Esperado]]/2,Tabla3[[#This Row],[% Esperado]])</f>
        <v>0</v>
      </c>
      <c r="I91">
        <v>0</v>
      </c>
    </row>
    <row r="92" spans="1:9">
      <c r="A92" s="18">
        <v>46407</v>
      </c>
      <c r="B92" t="str">
        <f t="shared" si="1"/>
        <v>MIÉRCOLES</v>
      </c>
      <c r="C92">
        <v>106</v>
      </c>
      <c r="D92">
        <f>_xlfn.XLOOKUP(Tabla3[[#This Row],[Dia Semana]],Riesgo!A:A,Riesgo!B:B)</f>
        <v>1</v>
      </c>
      <c r="F92" s="17">
        <f>_xlfn.XLOOKUP(Tabla3[[#This Row],[Etapa]],Etapas!A:A,Etapas!B:B)</f>
        <v>0</v>
      </c>
      <c r="G92" s="17">
        <f>Tabla3[[#This Row],[% Op. Etapa]]*Tabla3[[#This Row],[Ratio]]</f>
        <v>0</v>
      </c>
      <c r="H92" s="17">
        <f>IF(Tabla3[[#This Row],[Noticia]]&gt;0,Tabla3[[#This Row],[% Esperado]]/2,Tabla3[[#This Row],[% Esperado]])</f>
        <v>0</v>
      </c>
      <c r="I92">
        <v>0</v>
      </c>
    </row>
    <row r="93" spans="1:9">
      <c r="A93" s="18">
        <v>46408</v>
      </c>
      <c r="B93" t="str">
        <f t="shared" si="1"/>
        <v>JUEVES</v>
      </c>
      <c r="C93">
        <v>107</v>
      </c>
      <c r="D93">
        <f>_xlfn.XLOOKUP(Tabla3[[#This Row],[Dia Semana]],Riesgo!A:A,Riesgo!B:B)</f>
        <v>2</v>
      </c>
      <c r="F93" s="17">
        <f>_xlfn.XLOOKUP(Tabla3[[#This Row],[Etapa]],Etapas!A:A,Etapas!B:B)</f>
        <v>0</v>
      </c>
      <c r="G93" s="17">
        <f>Tabla3[[#This Row],[% Op. Etapa]]*Tabla3[[#This Row],[Ratio]]</f>
        <v>0</v>
      </c>
      <c r="H93" s="17">
        <f>IF(Tabla3[[#This Row],[Noticia]]&gt;0,Tabla3[[#This Row],[% Esperado]]/2,Tabla3[[#This Row],[% Esperado]])</f>
        <v>0</v>
      </c>
      <c r="I93">
        <v>0</v>
      </c>
    </row>
    <row r="94" spans="1:9">
      <c r="A94" s="18">
        <v>46409</v>
      </c>
      <c r="B94" t="str">
        <f t="shared" si="1"/>
        <v>VIERNES</v>
      </c>
      <c r="C94">
        <v>108</v>
      </c>
      <c r="D94">
        <f>_xlfn.XLOOKUP(Tabla3[[#This Row],[Dia Semana]],Riesgo!A:A,Riesgo!B:B)</f>
        <v>1</v>
      </c>
      <c r="F94" s="17">
        <f>_xlfn.XLOOKUP(Tabla3[[#This Row],[Etapa]],Etapas!A:A,Etapas!B:B)</f>
        <v>0</v>
      </c>
      <c r="G94" s="17">
        <f>Tabla3[[#This Row],[% Op. Etapa]]*Tabla3[[#This Row],[Ratio]]</f>
        <v>0</v>
      </c>
      <c r="H94" s="17">
        <f>IF(Tabla3[[#This Row],[Noticia]]&gt;0,Tabla3[[#This Row],[% Esperado]]/2,Tabla3[[#This Row],[% Esperado]])</f>
        <v>0</v>
      </c>
      <c r="I94">
        <v>0</v>
      </c>
    </row>
    <row r="95" spans="1:9">
      <c r="A95" s="18">
        <v>46410</v>
      </c>
      <c r="B95" t="str">
        <f t="shared" si="1"/>
        <v>SÁBADO</v>
      </c>
      <c r="C95">
        <v>109</v>
      </c>
      <c r="D95">
        <f>_xlfn.XLOOKUP(Tabla3[[#This Row],[Dia Semana]],Riesgo!A:A,Riesgo!B:B)</f>
        <v>0</v>
      </c>
      <c r="F95" s="17">
        <f>_xlfn.XLOOKUP(Tabla3[[#This Row],[Etapa]],Etapas!A:A,Etapas!B:B)</f>
        <v>0</v>
      </c>
      <c r="G95" s="17">
        <f>Tabla3[[#This Row],[% Op. Etapa]]*Tabla3[[#This Row],[Ratio]]</f>
        <v>0</v>
      </c>
      <c r="H95" s="17">
        <f>IF(Tabla3[[#This Row],[Noticia]]&gt;0,Tabla3[[#This Row],[% Esperado]]/2,Tabla3[[#This Row],[% Esperado]])</f>
        <v>0</v>
      </c>
      <c r="I95">
        <v>0</v>
      </c>
    </row>
    <row r="96" spans="1:9">
      <c r="A96" s="18">
        <v>46411</v>
      </c>
      <c r="B96" t="str">
        <f t="shared" si="1"/>
        <v>DOMINGO</v>
      </c>
      <c r="C96">
        <v>110</v>
      </c>
      <c r="D96">
        <f>_xlfn.XLOOKUP(Tabla3[[#This Row],[Dia Semana]],Riesgo!A:A,Riesgo!B:B)</f>
        <v>0</v>
      </c>
      <c r="F96" s="17">
        <f>_xlfn.XLOOKUP(Tabla3[[#This Row],[Etapa]],Etapas!A:A,Etapas!B:B)</f>
        <v>0</v>
      </c>
      <c r="G96" s="17">
        <f>Tabla3[[#This Row],[% Op. Etapa]]*Tabla3[[#This Row],[Ratio]]</f>
        <v>0</v>
      </c>
      <c r="H96" s="17">
        <f>IF(Tabla3[[#This Row],[Noticia]]&gt;0,Tabla3[[#This Row],[% Esperado]]/2,Tabla3[[#This Row],[% Esperado]])</f>
        <v>0</v>
      </c>
      <c r="I96">
        <v>0</v>
      </c>
    </row>
    <row r="97" spans="1:9">
      <c r="A97" s="18">
        <v>46412</v>
      </c>
      <c r="B97" t="str">
        <f t="shared" si="1"/>
        <v>LUNES</v>
      </c>
      <c r="C97">
        <v>111</v>
      </c>
      <c r="D97">
        <f>_xlfn.XLOOKUP(Tabla3[[#This Row],[Dia Semana]],Riesgo!A:A,Riesgo!B:B)</f>
        <v>2</v>
      </c>
      <c r="F97" s="17">
        <f>_xlfn.XLOOKUP(Tabla3[[#This Row],[Etapa]],Etapas!A:A,Etapas!B:B)</f>
        <v>0</v>
      </c>
      <c r="G97" s="17">
        <f>Tabla3[[#This Row],[% Op. Etapa]]*Tabla3[[#This Row],[Ratio]]</f>
        <v>0</v>
      </c>
      <c r="H97" s="17">
        <f>IF(Tabla3[[#This Row],[Noticia]]&gt;0,Tabla3[[#This Row],[% Esperado]]/2,Tabla3[[#This Row],[% Esperado]])</f>
        <v>0</v>
      </c>
      <c r="I97">
        <v>0</v>
      </c>
    </row>
    <row r="98" spans="1:9">
      <c r="A98" s="18">
        <v>46413</v>
      </c>
      <c r="B98" t="str">
        <f t="shared" si="1"/>
        <v>MARTES</v>
      </c>
      <c r="C98">
        <v>112</v>
      </c>
      <c r="D98">
        <f>_xlfn.XLOOKUP(Tabla3[[#This Row],[Dia Semana]],Riesgo!A:A,Riesgo!B:B)</f>
        <v>2</v>
      </c>
      <c r="F98" s="17">
        <f>_xlfn.XLOOKUP(Tabla3[[#This Row],[Etapa]],Etapas!A:A,Etapas!B:B)</f>
        <v>0</v>
      </c>
      <c r="G98" s="17">
        <f>Tabla3[[#This Row],[% Op. Etapa]]*Tabla3[[#This Row],[Ratio]]</f>
        <v>0</v>
      </c>
      <c r="H98" s="17">
        <f>IF(Tabla3[[#This Row],[Noticia]]&gt;0,Tabla3[[#This Row],[% Esperado]]/2,Tabla3[[#This Row],[% Esperado]])</f>
        <v>0</v>
      </c>
      <c r="I98">
        <v>0</v>
      </c>
    </row>
    <row r="99" spans="1:9">
      <c r="A99" s="18">
        <v>46414</v>
      </c>
      <c r="B99" t="str">
        <f t="shared" si="1"/>
        <v>MIÉRCOLES</v>
      </c>
      <c r="C99">
        <v>113</v>
      </c>
      <c r="D99">
        <f>_xlfn.XLOOKUP(Tabla3[[#This Row],[Dia Semana]],Riesgo!A:A,Riesgo!B:B)</f>
        <v>1</v>
      </c>
      <c r="F99" s="17">
        <f>_xlfn.XLOOKUP(Tabla3[[#This Row],[Etapa]],Etapas!A:A,Etapas!B:B)</f>
        <v>0</v>
      </c>
      <c r="G99" s="17">
        <f>Tabla3[[#This Row],[% Op. Etapa]]*Tabla3[[#This Row],[Ratio]]</f>
        <v>0</v>
      </c>
      <c r="H99" s="17">
        <f>IF(Tabla3[[#This Row],[Noticia]]&gt;0,Tabla3[[#This Row],[% Esperado]]/2,Tabla3[[#This Row],[% Esperado]])</f>
        <v>0</v>
      </c>
      <c r="I99">
        <v>0</v>
      </c>
    </row>
    <row r="100" spans="1:9">
      <c r="A100" s="18">
        <v>46415</v>
      </c>
      <c r="B100" t="str">
        <f t="shared" si="1"/>
        <v>JUEVES</v>
      </c>
      <c r="C100">
        <v>114</v>
      </c>
      <c r="D100">
        <f>_xlfn.XLOOKUP(Tabla3[[#This Row],[Dia Semana]],Riesgo!A:A,Riesgo!B:B)</f>
        <v>2</v>
      </c>
      <c r="F100" s="17">
        <f>_xlfn.XLOOKUP(Tabla3[[#This Row],[Etapa]],Etapas!A:A,Etapas!B:B)</f>
        <v>0</v>
      </c>
      <c r="G100" s="17">
        <f>Tabla3[[#This Row],[% Op. Etapa]]*Tabla3[[#This Row],[Ratio]]</f>
        <v>0</v>
      </c>
      <c r="H100" s="17">
        <f>IF(Tabla3[[#This Row],[Noticia]]&gt;0,Tabla3[[#This Row],[% Esperado]]/2,Tabla3[[#This Row],[% Esperado]])</f>
        <v>0</v>
      </c>
      <c r="I100">
        <v>0</v>
      </c>
    </row>
    <row r="101" spans="1:9">
      <c r="A101" s="18">
        <v>46416</v>
      </c>
      <c r="B101" t="str">
        <f t="shared" si="1"/>
        <v>VIERNES</v>
      </c>
      <c r="C101">
        <v>115</v>
      </c>
      <c r="D101">
        <f>_xlfn.XLOOKUP(Tabla3[[#This Row],[Dia Semana]],Riesgo!A:A,Riesgo!B:B)</f>
        <v>1</v>
      </c>
      <c r="F101" s="17">
        <f>_xlfn.XLOOKUP(Tabla3[[#This Row],[Etapa]],Etapas!A:A,Etapas!B:B)</f>
        <v>0</v>
      </c>
      <c r="G101" s="17">
        <f>Tabla3[[#This Row],[% Op. Etapa]]*Tabla3[[#This Row],[Ratio]]</f>
        <v>0</v>
      </c>
      <c r="H101" s="17">
        <f>IF(Tabla3[[#This Row],[Noticia]]&gt;0,Tabla3[[#This Row],[% Esperado]]/2,Tabla3[[#This Row],[% Esperado]])</f>
        <v>0</v>
      </c>
      <c r="I101">
        <v>0</v>
      </c>
    </row>
    <row r="102" spans="1:9">
      <c r="A102" s="18">
        <v>46417</v>
      </c>
      <c r="B102" t="str">
        <f t="shared" si="1"/>
        <v>SÁBADO</v>
      </c>
      <c r="C102">
        <v>116</v>
      </c>
      <c r="D102">
        <f>_xlfn.XLOOKUP(Tabla3[[#This Row],[Dia Semana]],Riesgo!A:A,Riesgo!B:B)</f>
        <v>0</v>
      </c>
      <c r="F102" s="17">
        <f>_xlfn.XLOOKUP(Tabla3[[#This Row],[Etapa]],Etapas!A:A,Etapas!B:B)</f>
        <v>0</v>
      </c>
      <c r="G102" s="17">
        <f>Tabla3[[#This Row],[% Op. Etapa]]*Tabla3[[#This Row],[Ratio]]</f>
        <v>0</v>
      </c>
      <c r="H102" s="17">
        <f>IF(Tabla3[[#This Row],[Noticia]]&gt;0,Tabla3[[#This Row],[% Esperado]]/2,Tabla3[[#This Row],[% Esperado]])</f>
        <v>0</v>
      </c>
      <c r="I102">
        <v>0</v>
      </c>
    </row>
    <row r="103" spans="1:9">
      <c r="A103" s="18">
        <v>46418</v>
      </c>
      <c r="B103" t="str">
        <f t="shared" si="1"/>
        <v>DOMINGO</v>
      </c>
      <c r="C103">
        <v>117</v>
      </c>
      <c r="D103">
        <f>_xlfn.XLOOKUP(Tabla3[[#This Row],[Dia Semana]],Riesgo!A:A,Riesgo!B:B)</f>
        <v>0</v>
      </c>
      <c r="F103" s="17">
        <f>_xlfn.XLOOKUP(Tabla3[[#This Row],[Etapa]],Etapas!A:A,Etapas!B:B)</f>
        <v>0</v>
      </c>
      <c r="G103" s="17">
        <f>Tabla3[[#This Row],[% Op. Etapa]]*Tabla3[[#This Row],[Ratio]]</f>
        <v>0</v>
      </c>
      <c r="H103" s="17">
        <f>IF(Tabla3[[#This Row],[Noticia]]&gt;0,Tabla3[[#This Row],[% Esperado]]/2,Tabla3[[#This Row],[% Esperado]])</f>
        <v>0</v>
      </c>
      <c r="I103">
        <v>0</v>
      </c>
    </row>
    <row r="104" spans="1:9">
      <c r="A104" s="18">
        <v>46419</v>
      </c>
      <c r="B104" t="str">
        <f t="shared" si="1"/>
        <v>LUNES</v>
      </c>
      <c r="C104">
        <v>118</v>
      </c>
      <c r="D104">
        <f>_xlfn.XLOOKUP(Tabla3[[#This Row],[Dia Semana]],Riesgo!A:A,Riesgo!B:B)</f>
        <v>2</v>
      </c>
      <c r="F104" s="17">
        <f>_xlfn.XLOOKUP(Tabla3[[#This Row],[Etapa]],Etapas!A:A,Etapas!B:B)</f>
        <v>0</v>
      </c>
      <c r="G104" s="17">
        <f>Tabla3[[#This Row],[% Op. Etapa]]*Tabla3[[#This Row],[Ratio]]</f>
        <v>0</v>
      </c>
      <c r="H104" s="17">
        <f>IF(Tabla3[[#This Row],[Noticia]]&gt;0,Tabla3[[#This Row],[% Esperado]]/2,Tabla3[[#This Row],[% Esperado]])</f>
        <v>0</v>
      </c>
      <c r="I104">
        <v>0</v>
      </c>
    </row>
    <row r="105" spans="1:9">
      <c r="A105" s="18">
        <v>46420</v>
      </c>
      <c r="B105" t="str">
        <f t="shared" si="1"/>
        <v>MARTES</v>
      </c>
      <c r="C105">
        <v>119</v>
      </c>
      <c r="D105">
        <f>_xlfn.XLOOKUP(Tabla3[[#This Row],[Dia Semana]],Riesgo!A:A,Riesgo!B:B)</f>
        <v>2</v>
      </c>
      <c r="F105" s="17">
        <f>_xlfn.XLOOKUP(Tabla3[[#This Row],[Etapa]],Etapas!A:A,Etapas!B:B)</f>
        <v>0</v>
      </c>
      <c r="G105" s="17">
        <f>Tabla3[[#This Row],[% Op. Etapa]]*Tabla3[[#This Row],[Ratio]]</f>
        <v>0</v>
      </c>
      <c r="H105" s="17">
        <f>IF(Tabla3[[#This Row],[Noticia]]&gt;0,Tabla3[[#This Row],[% Esperado]]/2,Tabla3[[#This Row],[% Esperado]])</f>
        <v>0</v>
      </c>
      <c r="I105">
        <v>0</v>
      </c>
    </row>
    <row r="106" spans="1:9">
      <c r="A106" s="18">
        <v>46421</v>
      </c>
      <c r="B106" t="str">
        <f t="shared" si="1"/>
        <v>MIÉRCOLES</v>
      </c>
      <c r="C106">
        <v>120</v>
      </c>
      <c r="D106">
        <f>_xlfn.XLOOKUP(Tabla3[[#This Row],[Dia Semana]],Riesgo!A:A,Riesgo!B:B)</f>
        <v>1</v>
      </c>
      <c r="F106" s="17">
        <f>_xlfn.XLOOKUP(Tabla3[[#This Row],[Etapa]],Etapas!A:A,Etapas!B:B)</f>
        <v>0</v>
      </c>
      <c r="G106" s="17">
        <f>Tabla3[[#This Row],[% Op. Etapa]]*Tabla3[[#This Row],[Ratio]]</f>
        <v>0</v>
      </c>
      <c r="H106" s="17">
        <f>IF(Tabla3[[#This Row],[Noticia]]&gt;0,Tabla3[[#This Row],[% Esperado]]/2,Tabla3[[#This Row],[% Esperado]])</f>
        <v>0</v>
      </c>
      <c r="I106">
        <v>0</v>
      </c>
    </row>
    <row r="107" spans="1:9">
      <c r="A107" s="18">
        <v>46422</v>
      </c>
      <c r="B107" t="str">
        <f t="shared" si="1"/>
        <v>JUEVES</v>
      </c>
      <c r="C107">
        <v>121</v>
      </c>
      <c r="D107">
        <f>_xlfn.XLOOKUP(Tabla3[[#This Row],[Dia Semana]],Riesgo!A:A,Riesgo!B:B)</f>
        <v>2</v>
      </c>
      <c r="F107" s="17">
        <f>_xlfn.XLOOKUP(Tabla3[[#This Row],[Etapa]],Etapas!A:A,Etapas!B:B)</f>
        <v>0</v>
      </c>
      <c r="G107" s="17">
        <f>Tabla3[[#This Row],[% Op. Etapa]]*Tabla3[[#This Row],[Ratio]]</f>
        <v>0</v>
      </c>
      <c r="H107" s="17">
        <f>IF(Tabla3[[#This Row],[Noticia]]&gt;0,Tabla3[[#This Row],[% Esperado]]/2,Tabla3[[#This Row],[% Esperado]])</f>
        <v>0</v>
      </c>
      <c r="I107">
        <v>0</v>
      </c>
    </row>
    <row r="108" spans="1:9">
      <c r="A108" s="18">
        <v>46423</v>
      </c>
      <c r="B108" t="str">
        <f t="shared" si="1"/>
        <v>VIERNES</v>
      </c>
      <c r="C108">
        <v>122</v>
      </c>
      <c r="D108">
        <f>_xlfn.XLOOKUP(Tabla3[[#This Row],[Dia Semana]],Riesgo!A:A,Riesgo!B:B)</f>
        <v>1</v>
      </c>
      <c r="F108" s="17">
        <f>_xlfn.XLOOKUP(Tabla3[[#This Row],[Etapa]],Etapas!A:A,Etapas!B:B)</f>
        <v>0</v>
      </c>
      <c r="G108" s="17">
        <f>Tabla3[[#This Row],[% Op. Etapa]]*Tabla3[[#This Row],[Ratio]]</f>
        <v>0</v>
      </c>
      <c r="H108" s="17">
        <f>IF(Tabla3[[#This Row],[Noticia]]&gt;0,Tabla3[[#This Row],[% Esperado]]/2,Tabla3[[#This Row],[% Esperado]])</f>
        <v>0</v>
      </c>
      <c r="I108">
        <v>0</v>
      </c>
    </row>
    <row r="109" spans="1:9">
      <c r="A109" s="18">
        <v>46424</v>
      </c>
      <c r="B109" t="str">
        <f t="shared" si="1"/>
        <v>SÁBADO</v>
      </c>
      <c r="C109">
        <v>123</v>
      </c>
      <c r="D109">
        <f>_xlfn.XLOOKUP(Tabla3[[#This Row],[Dia Semana]],Riesgo!A:A,Riesgo!B:B)</f>
        <v>0</v>
      </c>
      <c r="F109" s="17">
        <f>_xlfn.XLOOKUP(Tabla3[[#This Row],[Etapa]],Etapas!A:A,Etapas!B:B)</f>
        <v>0</v>
      </c>
      <c r="G109" s="17">
        <f>Tabla3[[#This Row],[% Op. Etapa]]*Tabla3[[#This Row],[Ratio]]</f>
        <v>0</v>
      </c>
      <c r="H109" s="17">
        <f>IF(Tabla3[[#This Row],[Noticia]]&gt;0,Tabla3[[#This Row],[% Esperado]]/2,Tabla3[[#This Row],[% Esperado]])</f>
        <v>0</v>
      </c>
      <c r="I109">
        <v>0</v>
      </c>
    </row>
    <row r="110" spans="1:9">
      <c r="A110" s="18">
        <v>46425</v>
      </c>
      <c r="B110" t="str">
        <f t="shared" si="1"/>
        <v>DOMINGO</v>
      </c>
      <c r="C110">
        <v>124</v>
      </c>
      <c r="D110">
        <f>_xlfn.XLOOKUP(Tabla3[[#This Row],[Dia Semana]],Riesgo!A:A,Riesgo!B:B)</f>
        <v>0</v>
      </c>
      <c r="F110" s="17">
        <f>_xlfn.XLOOKUP(Tabla3[[#This Row],[Etapa]],Etapas!A:A,Etapas!B:B)</f>
        <v>0</v>
      </c>
      <c r="G110" s="17">
        <f>Tabla3[[#This Row],[% Op. Etapa]]*Tabla3[[#This Row],[Ratio]]</f>
        <v>0</v>
      </c>
      <c r="H110" s="17">
        <f>IF(Tabla3[[#This Row],[Noticia]]&gt;0,Tabla3[[#This Row],[% Esperado]]/2,Tabla3[[#This Row],[% Esperado]])</f>
        <v>0</v>
      </c>
      <c r="I110">
        <v>0</v>
      </c>
    </row>
    <row r="111" spans="1:9">
      <c r="A111" s="18">
        <v>46426</v>
      </c>
      <c r="B111" t="str">
        <f t="shared" si="1"/>
        <v>LUNES</v>
      </c>
      <c r="C111">
        <v>125</v>
      </c>
      <c r="D111">
        <f>_xlfn.XLOOKUP(Tabla3[[#This Row],[Dia Semana]],Riesgo!A:A,Riesgo!B:B)</f>
        <v>2</v>
      </c>
      <c r="F111" s="17">
        <f>_xlfn.XLOOKUP(Tabla3[[#This Row],[Etapa]],Etapas!A:A,Etapas!B:B)</f>
        <v>0</v>
      </c>
      <c r="G111" s="17">
        <f>Tabla3[[#This Row],[% Op. Etapa]]*Tabla3[[#This Row],[Ratio]]</f>
        <v>0</v>
      </c>
      <c r="H111" s="17">
        <f>IF(Tabla3[[#This Row],[Noticia]]&gt;0,Tabla3[[#This Row],[% Esperado]]/2,Tabla3[[#This Row],[% Esperado]])</f>
        <v>0</v>
      </c>
      <c r="I111">
        <v>0</v>
      </c>
    </row>
    <row r="112" spans="1:9">
      <c r="A112" s="18">
        <v>46427</v>
      </c>
      <c r="B112" t="str">
        <f t="shared" si="1"/>
        <v>MARTES</v>
      </c>
      <c r="C112">
        <v>126</v>
      </c>
      <c r="D112">
        <f>_xlfn.XLOOKUP(Tabla3[[#This Row],[Dia Semana]],Riesgo!A:A,Riesgo!B:B)</f>
        <v>2</v>
      </c>
      <c r="F112" s="17">
        <f>_xlfn.XLOOKUP(Tabla3[[#This Row],[Etapa]],Etapas!A:A,Etapas!B:B)</f>
        <v>0</v>
      </c>
      <c r="G112" s="17">
        <f>Tabla3[[#This Row],[% Op. Etapa]]*Tabla3[[#This Row],[Ratio]]</f>
        <v>0</v>
      </c>
      <c r="H112" s="17">
        <f>IF(Tabla3[[#This Row],[Noticia]]&gt;0,Tabla3[[#This Row],[% Esperado]]/2,Tabla3[[#This Row],[% Esperado]])</f>
        <v>0</v>
      </c>
      <c r="I112">
        <v>0</v>
      </c>
    </row>
    <row r="113" spans="1:9">
      <c r="A113" s="18">
        <v>46428</v>
      </c>
      <c r="B113" t="str">
        <f t="shared" si="1"/>
        <v>MIÉRCOLES</v>
      </c>
      <c r="C113">
        <v>127</v>
      </c>
      <c r="D113">
        <f>_xlfn.XLOOKUP(Tabla3[[#This Row],[Dia Semana]],Riesgo!A:A,Riesgo!B:B)</f>
        <v>1</v>
      </c>
      <c r="F113" s="17">
        <f>_xlfn.XLOOKUP(Tabla3[[#This Row],[Etapa]],Etapas!A:A,Etapas!B:B)</f>
        <v>0</v>
      </c>
      <c r="G113" s="17">
        <f>Tabla3[[#This Row],[% Op. Etapa]]*Tabla3[[#This Row],[Ratio]]</f>
        <v>0</v>
      </c>
      <c r="H113" s="17">
        <f>IF(Tabla3[[#This Row],[Noticia]]&gt;0,Tabla3[[#This Row],[% Esperado]]/2,Tabla3[[#This Row],[% Esperado]])</f>
        <v>0</v>
      </c>
      <c r="I113">
        <v>0</v>
      </c>
    </row>
    <row r="114" spans="1:9">
      <c r="A114" s="18">
        <v>46429</v>
      </c>
      <c r="B114" t="str">
        <f t="shared" si="1"/>
        <v>JUEVES</v>
      </c>
      <c r="C114">
        <v>128</v>
      </c>
      <c r="D114">
        <f>_xlfn.XLOOKUP(Tabla3[[#This Row],[Dia Semana]],Riesgo!A:A,Riesgo!B:B)</f>
        <v>2</v>
      </c>
      <c r="F114" s="17">
        <f>_xlfn.XLOOKUP(Tabla3[[#This Row],[Etapa]],Etapas!A:A,Etapas!B:B)</f>
        <v>0</v>
      </c>
      <c r="G114" s="17">
        <f>Tabla3[[#This Row],[% Op. Etapa]]*Tabla3[[#This Row],[Ratio]]</f>
        <v>0</v>
      </c>
      <c r="H114" s="17">
        <f>IF(Tabla3[[#This Row],[Noticia]]&gt;0,Tabla3[[#This Row],[% Esperado]]/2,Tabla3[[#This Row],[% Esperado]])</f>
        <v>0</v>
      </c>
      <c r="I114">
        <v>0</v>
      </c>
    </row>
    <row r="115" spans="1:9">
      <c r="A115" s="18">
        <v>46430</v>
      </c>
      <c r="B115" t="str">
        <f t="shared" si="1"/>
        <v>VIERNES</v>
      </c>
      <c r="C115">
        <v>129</v>
      </c>
      <c r="D115">
        <f>_xlfn.XLOOKUP(Tabla3[[#This Row],[Dia Semana]],Riesgo!A:A,Riesgo!B:B)</f>
        <v>1</v>
      </c>
      <c r="F115" s="17">
        <f>_xlfn.XLOOKUP(Tabla3[[#This Row],[Etapa]],Etapas!A:A,Etapas!B:B)</f>
        <v>0</v>
      </c>
      <c r="G115" s="17">
        <f>Tabla3[[#This Row],[% Op. Etapa]]*Tabla3[[#This Row],[Ratio]]</f>
        <v>0</v>
      </c>
      <c r="H115" s="17">
        <f>IF(Tabla3[[#This Row],[Noticia]]&gt;0,Tabla3[[#This Row],[% Esperado]]/2,Tabla3[[#This Row],[% Esperado]])</f>
        <v>0</v>
      </c>
      <c r="I115">
        <v>0</v>
      </c>
    </row>
    <row r="116" spans="1:9">
      <c r="A116" s="18">
        <v>46431</v>
      </c>
      <c r="B116" t="str">
        <f t="shared" si="1"/>
        <v>SÁBADO</v>
      </c>
      <c r="C116">
        <v>130</v>
      </c>
      <c r="D116">
        <f>_xlfn.XLOOKUP(Tabla3[[#This Row],[Dia Semana]],Riesgo!A:A,Riesgo!B:B)</f>
        <v>0</v>
      </c>
      <c r="F116" s="17">
        <f>_xlfn.XLOOKUP(Tabla3[[#This Row],[Etapa]],Etapas!A:A,Etapas!B:B)</f>
        <v>0</v>
      </c>
      <c r="G116" s="17">
        <f>Tabla3[[#This Row],[% Op. Etapa]]*Tabla3[[#This Row],[Ratio]]</f>
        <v>0</v>
      </c>
      <c r="H116" s="17">
        <f>IF(Tabla3[[#This Row],[Noticia]]&gt;0,Tabla3[[#This Row],[% Esperado]]/2,Tabla3[[#This Row],[% Esperado]])</f>
        <v>0</v>
      </c>
      <c r="I116">
        <v>0</v>
      </c>
    </row>
    <row r="117" spans="1:9">
      <c r="A117" s="18">
        <v>46432</v>
      </c>
      <c r="B117" t="str">
        <f t="shared" si="1"/>
        <v>DOMINGO</v>
      </c>
      <c r="C117">
        <v>131</v>
      </c>
      <c r="D117">
        <f>_xlfn.XLOOKUP(Tabla3[[#This Row],[Dia Semana]],Riesgo!A:A,Riesgo!B:B)</f>
        <v>0</v>
      </c>
      <c r="F117" s="17">
        <f>_xlfn.XLOOKUP(Tabla3[[#This Row],[Etapa]],Etapas!A:A,Etapas!B:B)</f>
        <v>0</v>
      </c>
      <c r="G117" s="17">
        <f>Tabla3[[#This Row],[% Op. Etapa]]*Tabla3[[#This Row],[Ratio]]</f>
        <v>0</v>
      </c>
      <c r="H117" s="17">
        <f>IF(Tabla3[[#This Row],[Noticia]]&gt;0,Tabla3[[#This Row],[% Esperado]]/2,Tabla3[[#This Row],[% Esperado]])</f>
        <v>0</v>
      </c>
      <c r="I117">
        <v>0</v>
      </c>
    </row>
    <row r="118" spans="1:9">
      <c r="A118" s="18">
        <v>46433</v>
      </c>
      <c r="B118" t="str">
        <f t="shared" si="1"/>
        <v>LUNES</v>
      </c>
      <c r="C118">
        <v>132</v>
      </c>
      <c r="D118">
        <f>_xlfn.XLOOKUP(Tabla3[[#This Row],[Dia Semana]],Riesgo!A:A,Riesgo!B:B)</f>
        <v>2</v>
      </c>
      <c r="F118" s="17">
        <f>_xlfn.XLOOKUP(Tabla3[[#This Row],[Etapa]],Etapas!A:A,Etapas!B:B)</f>
        <v>0</v>
      </c>
      <c r="G118" s="17">
        <f>Tabla3[[#This Row],[% Op. Etapa]]*Tabla3[[#This Row],[Ratio]]</f>
        <v>0</v>
      </c>
      <c r="H118" s="17">
        <f>IF(Tabla3[[#This Row],[Noticia]]&gt;0,Tabla3[[#This Row],[% Esperado]]/2,Tabla3[[#This Row],[% Esperado]])</f>
        <v>0</v>
      </c>
      <c r="I118">
        <v>0</v>
      </c>
    </row>
    <row r="119" spans="1:9">
      <c r="A119" s="18">
        <v>46434</v>
      </c>
      <c r="B119" t="str">
        <f t="shared" si="1"/>
        <v>MARTES</v>
      </c>
      <c r="C119">
        <v>133</v>
      </c>
      <c r="D119">
        <f>_xlfn.XLOOKUP(Tabla3[[#This Row],[Dia Semana]],Riesgo!A:A,Riesgo!B:B)</f>
        <v>2</v>
      </c>
      <c r="F119" s="17">
        <f>_xlfn.XLOOKUP(Tabla3[[#This Row],[Etapa]],Etapas!A:A,Etapas!B:B)</f>
        <v>0</v>
      </c>
      <c r="G119" s="17">
        <f>Tabla3[[#This Row],[% Op. Etapa]]*Tabla3[[#This Row],[Ratio]]</f>
        <v>0</v>
      </c>
      <c r="H119" s="17">
        <f>IF(Tabla3[[#This Row],[Noticia]]&gt;0,Tabla3[[#This Row],[% Esperado]]/2,Tabla3[[#This Row],[% Esperado]])</f>
        <v>0</v>
      </c>
      <c r="I119">
        <v>0</v>
      </c>
    </row>
    <row r="120" spans="1:9">
      <c r="A120" s="18">
        <v>46435</v>
      </c>
      <c r="B120" t="str">
        <f t="shared" si="1"/>
        <v>MIÉRCOLES</v>
      </c>
      <c r="C120">
        <v>134</v>
      </c>
      <c r="D120">
        <f>_xlfn.XLOOKUP(Tabla3[[#This Row],[Dia Semana]],Riesgo!A:A,Riesgo!B:B)</f>
        <v>1</v>
      </c>
      <c r="F120" s="17">
        <f>_xlfn.XLOOKUP(Tabla3[[#This Row],[Etapa]],Etapas!A:A,Etapas!B:B)</f>
        <v>0</v>
      </c>
      <c r="G120" s="17">
        <f>Tabla3[[#This Row],[% Op. Etapa]]*Tabla3[[#This Row],[Ratio]]</f>
        <v>0</v>
      </c>
      <c r="H120" s="17">
        <f>IF(Tabla3[[#This Row],[Noticia]]&gt;0,Tabla3[[#This Row],[% Esperado]]/2,Tabla3[[#This Row],[% Esperado]])</f>
        <v>0</v>
      </c>
      <c r="I120">
        <v>0</v>
      </c>
    </row>
    <row r="121" spans="1:9">
      <c r="A121" s="18">
        <v>46436</v>
      </c>
      <c r="B121" t="str">
        <f t="shared" si="1"/>
        <v>JUEVES</v>
      </c>
      <c r="C121">
        <v>135</v>
      </c>
      <c r="D121">
        <f>_xlfn.XLOOKUP(Tabla3[[#This Row],[Dia Semana]],Riesgo!A:A,Riesgo!B:B)</f>
        <v>2</v>
      </c>
      <c r="F121" s="17">
        <f>_xlfn.XLOOKUP(Tabla3[[#This Row],[Etapa]],Etapas!A:A,Etapas!B:B)</f>
        <v>0</v>
      </c>
      <c r="G121" s="17">
        <f>Tabla3[[#This Row],[% Op. Etapa]]*Tabla3[[#This Row],[Ratio]]</f>
        <v>0</v>
      </c>
      <c r="H121" s="17">
        <f>IF(Tabla3[[#This Row],[Noticia]]&gt;0,Tabla3[[#This Row],[% Esperado]]/2,Tabla3[[#This Row],[% Esperado]])</f>
        <v>0</v>
      </c>
      <c r="I121">
        <v>0</v>
      </c>
    </row>
    <row r="122" spans="1:9">
      <c r="A122" s="18">
        <v>46437</v>
      </c>
      <c r="B122" t="str">
        <f t="shared" si="1"/>
        <v>VIERNES</v>
      </c>
      <c r="C122">
        <v>136</v>
      </c>
      <c r="D122">
        <f>_xlfn.XLOOKUP(Tabla3[[#This Row],[Dia Semana]],Riesgo!A:A,Riesgo!B:B)</f>
        <v>1</v>
      </c>
      <c r="F122" s="17">
        <f>_xlfn.XLOOKUP(Tabla3[[#This Row],[Etapa]],Etapas!A:A,Etapas!B:B)</f>
        <v>0</v>
      </c>
      <c r="G122" s="17">
        <f>Tabla3[[#This Row],[% Op. Etapa]]*Tabla3[[#This Row],[Ratio]]</f>
        <v>0</v>
      </c>
      <c r="H122" s="17">
        <f>IF(Tabla3[[#This Row],[Noticia]]&gt;0,Tabla3[[#This Row],[% Esperado]]/2,Tabla3[[#This Row],[% Esperado]])</f>
        <v>0</v>
      </c>
      <c r="I122">
        <v>0</v>
      </c>
    </row>
    <row r="123" spans="1:9">
      <c r="A123" s="18">
        <v>46438</v>
      </c>
      <c r="B123" t="str">
        <f t="shared" si="1"/>
        <v>SÁBADO</v>
      </c>
      <c r="C123">
        <v>137</v>
      </c>
      <c r="D123">
        <f>_xlfn.XLOOKUP(Tabla3[[#This Row],[Dia Semana]],Riesgo!A:A,Riesgo!B:B)</f>
        <v>0</v>
      </c>
      <c r="F123" s="17">
        <f>_xlfn.XLOOKUP(Tabla3[[#This Row],[Etapa]],Etapas!A:A,Etapas!B:B)</f>
        <v>0</v>
      </c>
      <c r="G123" s="17">
        <f>Tabla3[[#This Row],[% Op. Etapa]]*Tabla3[[#This Row],[Ratio]]</f>
        <v>0</v>
      </c>
      <c r="H123" s="17">
        <f>IF(Tabla3[[#This Row],[Noticia]]&gt;0,Tabla3[[#This Row],[% Esperado]]/2,Tabla3[[#This Row],[% Esperado]])</f>
        <v>0</v>
      </c>
      <c r="I123">
        <v>0</v>
      </c>
    </row>
    <row r="124" spans="1:9">
      <c r="A124" s="18">
        <v>46439</v>
      </c>
      <c r="B124" t="str">
        <f t="shared" si="1"/>
        <v>DOMINGO</v>
      </c>
      <c r="C124">
        <v>138</v>
      </c>
      <c r="D124">
        <f>_xlfn.XLOOKUP(Tabla3[[#This Row],[Dia Semana]],Riesgo!A:A,Riesgo!B:B)</f>
        <v>0</v>
      </c>
      <c r="F124" s="17">
        <f>_xlfn.XLOOKUP(Tabla3[[#This Row],[Etapa]],Etapas!A:A,Etapas!B:B)</f>
        <v>0</v>
      </c>
      <c r="G124" s="17">
        <f>Tabla3[[#This Row],[% Op. Etapa]]*Tabla3[[#This Row],[Ratio]]</f>
        <v>0</v>
      </c>
      <c r="H124" s="17">
        <f>IF(Tabla3[[#This Row],[Noticia]]&gt;0,Tabla3[[#This Row],[% Esperado]]/2,Tabla3[[#This Row],[% Esperado]])</f>
        <v>0</v>
      </c>
      <c r="I124">
        <v>0</v>
      </c>
    </row>
    <row r="125" spans="1:9">
      <c r="A125" s="18">
        <v>46440</v>
      </c>
      <c r="B125" t="str">
        <f t="shared" si="1"/>
        <v>LUNES</v>
      </c>
      <c r="C125">
        <v>139</v>
      </c>
      <c r="D125">
        <f>_xlfn.XLOOKUP(Tabla3[[#This Row],[Dia Semana]],Riesgo!A:A,Riesgo!B:B)</f>
        <v>2</v>
      </c>
      <c r="F125" s="17">
        <f>_xlfn.XLOOKUP(Tabla3[[#This Row],[Etapa]],Etapas!A:A,Etapas!B:B)</f>
        <v>0</v>
      </c>
      <c r="G125" s="17">
        <f>Tabla3[[#This Row],[% Op. Etapa]]*Tabla3[[#This Row],[Ratio]]</f>
        <v>0</v>
      </c>
      <c r="H125" s="17">
        <f>IF(Tabla3[[#This Row],[Noticia]]&gt;0,Tabla3[[#This Row],[% Esperado]]/2,Tabla3[[#This Row],[% Esperado]])</f>
        <v>0</v>
      </c>
      <c r="I125">
        <v>0</v>
      </c>
    </row>
    <row r="126" spans="1:9">
      <c r="A126" s="18">
        <v>46441</v>
      </c>
      <c r="B126" t="str">
        <f t="shared" si="1"/>
        <v>MARTES</v>
      </c>
      <c r="C126">
        <v>140</v>
      </c>
      <c r="D126">
        <f>_xlfn.XLOOKUP(Tabla3[[#This Row],[Dia Semana]],Riesgo!A:A,Riesgo!B:B)</f>
        <v>2</v>
      </c>
      <c r="F126" s="17">
        <f>_xlfn.XLOOKUP(Tabla3[[#This Row],[Etapa]],Etapas!A:A,Etapas!B:B)</f>
        <v>0</v>
      </c>
      <c r="G126" s="17">
        <f>Tabla3[[#This Row],[% Op. Etapa]]*Tabla3[[#This Row],[Ratio]]</f>
        <v>0</v>
      </c>
      <c r="H126" s="17">
        <f>IF(Tabla3[[#This Row],[Noticia]]&gt;0,Tabla3[[#This Row],[% Esperado]]/2,Tabla3[[#This Row],[% Esperado]])</f>
        <v>0</v>
      </c>
      <c r="I126">
        <v>0</v>
      </c>
    </row>
    <row r="127" spans="1:9">
      <c r="A127" s="18">
        <v>46442</v>
      </c>
      <c r="B127" t="str">
        <f t="shared" si="1"/>
        <v>MIÉRCOLES</v>
      </c>
      <c r="C127">
        <v>141</v>
      </c>
      <c r="D127">
        <f>_xlfn.XLOOKUP(Tabla3[[#This Row],[Dia Semana]],Riesgo!A:A,Riesgo!B:B)</f>
        <v>1</v>
      </c>
      <c r="F127" s="17">
        <f>_xlfn.XLOOKUP(Tabla3[[#This Row],[Etapa]],Etapas!A:A,Etapas!B:B)</f>
        <v>0</v>
      </c>
      <c r="G127" s="17">
        <f>Tabla3[[#This Row],[% Op. Etapa]]*Tabla3[[#This Row],[Ratio]]</f>
        <v>0</v>
      </c>
      <c r="H127" s="17">
        <f>IF(Tabla3[[#This Row],[Noticia]]&gt;0,Tabla3[[#This Row],[% Esperado]]/2,Tabla3[[#This Row],[% Esperado]])</f>
        <v>0</v>
      </c>
      <c r="I127">
        <v>0</v>
      </c>
    </row>
    <row r="128" spans="1:9">
      <c r="A128" s="18">
        <v>46443</v>
      </c>
      <c r="B128" t="str">
        <f t="shared" si="1"/>
        <v>JUEVES</v>
      </c>
      <c r="C128">
        <v>142</v>
      </c>
      <c r="D128">
        <f>_xlfn.XLOOKUP(Tabla3[[#This Row],[Dia Semana]],Riesgo!A:A,Riesgo!B:B)</f>
        <v>2</v>
      </c>
      <c r="F128" s="17">
        <f>_xlfn.XLOOKUP(Tabla3[[#This Row],[Etapa]],Etapas!A:A,Etapas!B:B)</f>
        <v>0</v>
      </c>
      <c r="G128" s="17">
        <f>Tabla3[[#This Row],[% Op. Etapa]]*Tabla3[[#This Row],[Ratio]]</f>
        <v>0</v>
      </c>
      <c r="H128" s="17">
        <f>IF(Tabla3[[#This Row],[Noticia]]&gt;0,Tabla3[[#This Row],[% Esperado]]/2,Tabla3[[#This Row],[% Esperado]])</f>
        <v>0</v>
      </c>
      <c r="I128">
        <v>0</v>
      </c>
    </row>
    <row r="129" spans="1:9">
      <c r="A129" s="18">
        <v>46444</v>
      </c>
      <c r="B129" t="str">
        <f t="shared" si="1"/>
        <v>VIERNES</v>
      </c>
      <c r="C129">
        <v>143</v>
      </c>
      <c r="D129">
        <f>_xlfn.XLOOKUP(Tabla3[[#This Row],[Dia Semana]],Riesgo!A:A,Riesgo!B:B)</f>
        <v>1</v>
      </c>
      <c r="F129" s="17">
        <f>_xlfn.XLOOKUP(Tabla3[[#This Row],[Etapa]],Etapas!A:A,Etapas!B:B)</f>
        <v>0</v>
      </c>
      <c r="G129" s="17">
        <f>Tabla3[[#This Row],[% Op. Etapa]]*Tabla3[[#This Row],[Ratio]]</f>
        <v>0</v>
      </c>
      <c r="H129" s="17">
        <f>IF(Tabla3[[#This Row],[Noticia]]&gt;0,Tabla3[[#This Row],[% Esperado]]/2,Tabla3[[#This Row],[% Esperado]])</f>
        <v>0</v>
      </c>
      <c r="I129">
        <v>0</v>
      </c>
    </row>
    <row r="130" spans="1:9">
      <c r="A130" s="18">
        <v>46445</v>
      </c>
      <c r="B130" t="str">
        <f t="shared" ref="B130:B193" si="2">UPPER(TEXT(A130,"dddd"))</f>
        <v>SÁBADO</v>
      </c>
      <c r="C130">
        <v>144</v>
      </c>
      <c r="D130">
        <f>_xlfn.XLOOKUP(Tabla3[[#This Row],[Dia Semana]],Riesgo!A:A,Riesgo!B:B)</f>
        <v>0</v>
      </c>
      <c r="F130" s="17">
        <f>_xlfn.XLOOKUP(Tabla3[[#This Row],[Etapa]],Etapas!A:A,Etapas!B:B)</f>
        <v>0</v>
      </c>
      <c r="G130" s="17">
        <f>Tabla3[[#This Row],[% Op. Etapa]]*Tabla3[[#This Row],[Ratio]]</f>
        <v>0</v>
      </c>
      <c r="H130" s="17">
        <f>IF(Tabla3[[#This Row],[Noticia]]&gt;0,Tabla3[[#This Row],[% Esperado]]/2,Tabla3[[#This Row],[% Esperado]])</f>
        <v>0</v>
      </c>
      <c r="I130">
        <v>0</v>
      </c>
    </row>
    <row r="131" spans="1:9">
      <c r="A131" s="18">
        <v>46446</v>
      </c>
      <c r="B131" t="str">
        <f t="shared" si="2"/>
        <v>DOMINGO</v>
      </c>
      <c r="C131">
        <v>145</v>
      </c>
      <c r="D131">
        <f>_xlfn.XLOOKUP(Tabla3[[#This Row],[Dia Semana]],Riesgo!A:A,Riesgo!B:B)</f>
        <v>0</v>
      </c>
      <c r="F131" s="17">
        <f>_xlfn.XLOOKUP(Tabla3[[#This Row],[Etapa]],Etapas!A:A,Etapas!B:B)</f>
        <v>0</v>
      </c>
      <c r="G131" s="17">
        <f>Tabla3[[#This Row],[% Op. Etapa]]*Tabla3[[#This Row],[Ratio]]</f>
        <v>0</v>
      </c>
      <c r="H131" s="17">
        <f>IF(Tabla3[[#This Row],[Noticia]]&gt;0,Tabla3[[#This Row],[% Esperado]]/2,Tabla3[[#This Row],[% Esperado]])</f>
        <v>0</v>
      </c>
      <c r="I131">
        <v>0</v>
      </c>
    </row>
    <row r="132" spans="1:9">
      <c r="A132" s="18">
        <v>46447</v>
      </c>
      <c r="B132" t="str">
        <f t="shared" si="2"/>
        <v>LUNES</v>
      </c>
      <c r="C132">
        <v>146</v>
      </c>
      <c r="D132">
        <f>_xlfn.XLOOKUP(Tabla3[[#This Row],[Dia Semana]],Riesgo!A:A,Riesgo!B:B)</f>
        <v>2</v>
      </c>
      <c r="F132" s="17">
        <f>_xlfn.XLOOKUP(Tabla3[[#This Row],[Etapa]],Etapas!A:A,Etapas!B:B)</f>
        <v>0</v>
      </c>
      <c r="G132" s="17">
        <f>Tabla3[[#This Row],[% Op. Etapa]]*Tabla3[[#This Row],[Ratio]]</f>
        <v>0</v>
      </c>
      <c r="H132" s="17">
        <f>IF(Tabla3[[#This Row],[Noticia]]&gt;0,Tabla3[[#This Row],[% Esperado]]/2,Tabla3[[#This Row],[% Esperado]])</f>
        <v>0</v>
      </c>
      <c r="I132">
        <v>0</v>
      </c>
    </row>
    <row r="133" spans="1:9">
      <c r="A133" s="18">
        <v>46448</v>
      </c>
      <c r="B133" t="str">
        <f t="shared" si="2"/>
        <v>MARTES</v>
      </c>
      <c r="C133">
        <v>147</v>
      </c>
      <c r="D133">
        <f>_xlfn.XLOOKUP(Tabla3[[#This Row],[Dia Semana]],Riesgo!A:A,Riesgo!B:B)</f>
        <v>2</v>
      </c>
      <c r="F133" s="17">
        <f>_xlfn.XLOOKUP(Tabla3[[#This Row],[Etapa]],Etapas!A:A,Etapas!B:B)</f>
        <v>0</v>
      </c>
      <c r="G133" s="17">
        <f>Tabla3[[#This Row],[% Op. Etapa]]*Tabla3[[#This Row],[Ratio]]</f>
        <v>0</v>
      </c>
      <c r="H133" s="17">
        <f>IF(Tabla3[[#This Row],[Noticia]]&gt;0,Tabla3[[#This Row],[% Esperado]]/2,Tabla3[[#This Row],[% Esperado]])</f>
        <v>0</v>
      </c>
      <c r="I133">
        <v>0</v>
      </c>
    </row>
    <row r="134" spans="1:9">
      <c r="A134" s="18">
        <v>46449</v>
      </c>
      <c r="B134" t="str">
        <f t="shared" si="2"/>
        <v>MIÉRCOLES</v>
      </c>
      <c r="C134">
        <v>148</v>
      </c>
      <c r="D134">
        <f>_xlfn.XLOOKUP(Tabla3[[#This Row],[Dia Semana]],Riesgo!A:A,Riesgo!B:B)</f>
        <v>1</v>
      </c>
      <c r="F134" s="17">
        <f>_xlfn.XLOOKUP(Tabla3[[#This Row],[Etapa]],Etapas!A:A,Etapas!B:B)</f>
        <v>0</v>
      </c>
      <c r="G134" s="17">
        <f>Tabla3[[#This Row],[% Op. Etapa]]*Tabla3[[#This Row],[Ratio]]</f>
        <v>0</v>
      </c>
      <c r="H134" s="17">
        <f>IF(Tabla3[[#This Row],[Noticia]]&gt;0,Tabla3[[#This Row],[% Esperado]]/2,Tabla3[[#This Row],[% Esperado]])</f>
        <v>0</v>
      </c>
      <c r="I134">
        <v>0</v>
      </c>
    </row>
    <row r="135" spans="1:9">
      <c r="A135" s="18">
        <v>46450</v>
      </c>
      <c r="B135" t="str">
        <f t="shared" si="2"/>
        <v>JUEVES</v>
      </c>
      <c r="C135">
        <v>149</v>
      </c>
      <c r="D135">
        <f>_xlfn.XLOOKUP(Tabla3[[#This Row],[Dia Semana]],Riesgo!A:A,Riesgo!B:B)</f>
        <v>2</v>
      </c>
      <c r="F135" s="17">
        <f>_xlfn.XLOOKUP(Tabla3[[#This Row],[Etapa]],Etapas!A:A,Etapas!B:B)</f>
        <v>0</v>
      </c>
      <c r="G135" s="17">
        <f>Tabla3[[#This Row],[% Op. Etapa]]*Tabla3[[#This Row],[Ratio]]</f>
        <v>0</v>
      </c>
      <c r="H135" s="17">
        <f>IF(Tabla3[[#This Row],[Noticia]]&gt;0,Tabla3[[#This Row],[% Esperado]]/2,Tabla3[[#This Row],[% Esperado]])</f>
        <v>0</v>
      </c>
      <c r="I135">
        <v>0</v>
      </c>
    </row>
    <row r="136" spans="1:9">
      <c r="A136" s="18">
        <v>46451</v>
      </c>
      <c r="B136" t="str">
        <f t="shared" si="2"/>
        <v>VIERNES</v>
      </c>
      <c r="C136">
        <v>150</v>
      </c>
      <c r="D136">
        <f>_xlfn.XLOOKUP(Tabla3[[#This Row],[Dia Semana]],Riesgo!A:A,Riesgo!B:B)</f>
        <v>1</v>
      </c>
      <c r="F136" s="17">
        <f>_xlfn.XLOOKUP(Tabla3[[#This Row],[Etapa]],Etapas!A:A,Etapas!B:B)</f>
        <v>0</v>
      </c>
      <c r="G136" s="17">
        <f>Tabla3[[#This Row],[% Op. Etapa]]*Tabla3[[#This Row],[Ratio]]</f>
        <v>0</v>
      </c>
      <c r="H136" s="17">
        <f>IF(Tabla3[[#This Row],[Noticia]]&gt;0,Tabla3[[#This Row],[% Esperado]]/2,Tabla3[[#This Row],[% Esperado]])</f>
        <v>0</v>
      </c>
      <c r="I136">
        <v>0</v>
      </c>
    </row>
    <row r="137" spans="1:9">
      <c r="A137" s="18">
        <v>46452</v>
      </c>
      <c r="B137" t="str">
        <f t="shared" si="2"/>
        <v>SÁBADO</v>
      </c>
      <c r="C137">
        <v>151</v>
      </c>
      <c r="D137">
        <f>_xlfn.XLOOKUP(Tabla3[[#This Row],[Dia Semana]],Riesgo!A:A,Riesgo!B:B)</f>
        <v>0</v>
      </c>
      <c r="F137" s="17">
        <f>_xlfn.XLOOKUP(Tabla3[[#This Row],[Etapa]],Etapas!A:A,Etapas!B:B)</f>
        <v>0</v>
      </c>
      <c r="G137" s="17">
        <f>Tabla3[[#This Row],[% Op. Etapa]]*Tabla3[[#This Row],[Ratio]]</f>
        <v>0</v>
      </c>
      <c r="H137" s="17">
        <f>IF(Tabla3[[#This Row],[Noticia]]&gt;0,Tabla3[[#This Row],[% Esperado]]/2,Tabla3[[#This Row],[% Esperado]])</f>
        <v>0</v>
      </c>
      <c r="I137">
        <v>0</v>
      </c>
    </row>
    <row r="138" spans="1:9">
      <c r="A138" s="18">
        <v>46453</v>
      </c>
      <c r="B138" t="str">
        <f t="shared" si="2"/>
        <v>DOMINGO</v>
      </c>
      <c r="C138">
        <v>152</v>
      </c>
      <c r="D138">
        <f>_xlfn.XLOOKUP(Tabla3[[#This Row],[Dia Semana]],Riesgo!A:A,Riesgo!B:B)</f>
        <v>0</v>
      </c>
      <c r="F138" s="17">
        <f>_xlfn.XLOOKUP(Tabla3[[#This Row],[Etapa]],Etapas!A:A,Etapas!B:B)</f>
        <v>0</v>
      </c>
      <c r="G138" s="17">
        <f>Tabla3[[#This Row],[% Op. Etapa]]*Tabla3[[#This Row],[Ratio]]</f>
        <v>0</v>
      </c>
      <c r="H138" s="17">
        <f>IF(Tabla3[[#This Row],[Noticia]]&gt;0,Tabla3[[#This Row],[% Esperado]]/2,Tabla3[[#This Row],[% Esperado]])</f>
        <v>0</v>
      </c>
      <c r="I138">
        <v>0</v>
      </c>
    </row>
    <row r="139" spans="1:9">
      <c r="A139" s="18">
        <v>46454</v>
      </c>
      <c r="B139" t="str">
        <f t="shared" si="2"/>
        <v>LUNES</v>
      </c>
      <c r="C139">
        <v>153</v>
      </c>
      <c r="D139">
        <f>_xlfn.XLOOKUP(Tabla3[[#This Row],[Dia Semana]],Riesgo!A:A,Riesgo!B:B)</f>
        <v>2</v>
      </c>
      <c r="F139" s="17">
        <f>_xlfn.XLOOKUP(Tabla3[[#This Row],[Etapa]],Etapas!A:A,Etapas!B:B)</f>
        <v>0</v>
      </c>
      <c r="G139" s="17">
        <f>Tabla3[[#This Row],[% Op. Etapa]]*Tabla3[[#This Row],[Ratio]]</f>
        <v>0</v>
      </c>
      <c r="H139" s="17">
        <f>IF(Tabla3[[#This Row],[Noticia]]&gt;0,Tabla3[[#This Row],[% Esperado]]/2,Tabla3[[#This Row],[% Esperado]])</f>
        <v>0</v>
      </c>
      <c r="I139">
        <v>0</v>
      </c>
    </row>
    <row r="140" spans="1:9">
      <c r="A140" s="18">
        <v>46455</v>
      </c>
      <c r="B140" t="str">
        <f t="shared" si="2"/>
        <v>MARTES</v>
      </c>
      <c r="C140">
        <v>154</v>
      </c>
      <c r="D140">
        <f>_xlfn.XLOOKUP(Tabla3[[#This Row],[Dia Semana]],Riesgo!A:A,Riesgo!B:B)</f>
        <v>2</v>
      </c>
      <c r="F140" s="17">
        <f>_xlfn.XLOOKUP(Tabla3[[#This Row],[Etapa]],Etapas!A:A,Etapas!B:B)</f>
        <v>0</v>
      </c>
      <c r="G140" s="17">
        <f>Tabla3[[#This Row],[% Op. Etapa]]*Tabla3[[#This Row],[Ratio]]</f>
        <v>0</v>
      </c>
      <c r="H140" s="17">
        <f>IF(Tabla3[[#This Row],[Noticia]]&gt;0,Tabla3[[#This Row],[% Esperado]]/2,Tabla3[[#This Row],[% Esperado]])</f>
        <v>0</v>
      </c>
      <c r="I140">
        <v>0</v>
      </c>
    </row>
    <row r="141" spans="1:9">
      <c r="A141" s="18">
        <v>46456</v>
      </c>
      <c r="B141" t="str">
        <f t="shared" si="2"/>
        <v>MIÉRCOLES</v>
      </c>
      <c r="C141">
        <v>155</v>
      </c>
      <c r="D141">
        <f>_xlfn.XLOOKUP(Tabla3[[#This Row],[Dia Semana]],Riesgo!A:A,Riesgo!B:B)</f>
        <v>1</v>
      </c>
      <c r="F141" s="17">
        <f>_xlfn.XLOOKUP(Tabla3[[#This Row],[Etapa]],Etapas!A:A,Etapas!B:B)</f>
        <v>0</v>
      </c>
      <c r="G141" s="17">
        <f>Tabla3[[#This Row],[% Op. Etapa]]*Tabla3[[#This Row],[Ratio]]</f>
        <v>0</v>
      </c>
      <c r="H141" s="17">
        <f>IF(Tabla3[[#This Row],[Noticia]]&gt;0,Tabla3[[#This Row],[% Esperado]]/2,Tabla3[[#This Row],[% Esperado]])</f>
        <v>0</v>
      </c>
      <c r="I141">
        <v>0</v>
      </c>
    </row>
    <row r="142" spans="1:9">
      <c r="A142" s="18">
        <v>46457</v>
      </c>
      <c r="B142" t="str">
        <f t="shared" si="2"/>
        <v>JUEVES</v>
      </c>
      <c r="C142">
        <v>156</v>
      </c>
      <c r="D142">
        <f>_xlfn.XLOOKUP(Tabla3[[#This Row],[Dia Semana]],Riesgo!A:A,Riesgo!B:B)</f>
        <v>2</v>
      </c>
      <c r="F142" s="17">
        <f>_xlfn.XLOOKUP(Tabla3[[#This Row],[Etapa]],Etapas!A:A,Etapas!B:B)</f>
        <v>0</v>
      </c>
      <c r="G142" s="17">
        <f>Tabla3[[#This Row],[% Op. Etapa]]*Tabla3[[#This Row],[Ratio]]</f>
        <v>0</v>
      </c>
      <c r="H142" s="17">
        <f>IF(Tabla3[[#This Row],[Noticia]]&gt;0,Tabla3[[#This Row],[% Esperado]]/2,Tabla3[[#This Row],[% Esperado]])</f>
        <v>0</v>
      </c>
      <c r="I142">
        <v>0</v>
      </c>
    </row>
    <row r="143" spans="1:9">
      <c r="A143" s="18">
        <v>46458</v>
      </c>
      <c r="B143" t="str">
        <f t="shared" si="2"/>
        <v>VIERNES</v>
      </c>
      <c r="C143">
        <v>157</v>
      </c>
      <c r="D143">
        <f>_xlfn.XLOOKUP(Tabla3[[#This Row],[Dia Semana]],Riesgo!A:A,Riesgo!B:B)</f>
        <v>1</v>
      </c>
      <c r="F143" s="17">
        <f>_xlfn.XLOOKUP(Tabla3[[#This Row],[Etapa]],Etapas!A:A,Etapas!B:B)</f>
        <v>0</v>
      </c>
      <c r="G143" s="17">
        <f>Tabla3[[#This Row],[% Op. Etapa]]*Tabla3[[#This Row],[Ratio]]</f>
        <v>0</v>
      </c>
      <c r="H143" s="17">
        <f>IF(Tabla3[[#This Row],[Noticia]]&gt;0,Tabla3[[#This Row],[% Esperado]]/2,Tabla3[[#This Row],[% Esperado]])</f>
        <v>0</v>
      </c>
      <c r="I143">
        <v>0</v>
      </c>
    </row>
    <row r="144" spans="1:9">
      <c r="A144" s="18">
        <v>46459</v>
      </c>
      <c r="B144" t="str">
        <f t="shared" si="2"/>
        <v>SÁBADO</v>
      </c>
      <c r="C144">
        <v>158</v>
      </c>
      <c r="D144">
        <f>_xlfn.XLOOKUP(Tabla3[[#This Row],[Dia Semana]],Riesgo!A:A,Riesgo!B:B)</f>
        <v>0</v>
      </c>
      <c r="F144" s="17">
        <f>_xlfn.XLOOKUP(Tabla3[[#This Row],[Etapa]],Etapas!A:A,Etapas!B:B)</f>
        <v>0</v>
      </c>
      <c r="G144" s="17">
        <f>Tabla3[[#This Row],[% Op. Etapa]]*Tabla3[[#This Row],[Ratio]]</f>
        <v>0</v>
      </c>
      <c r="H144" s="17">
        <f>IF(Tabla3[[#This Row],[Noticia]]&gt;0,Tabla3[[#This Row],[% Esperado]]/2,Tabla3[[#This Row],[% Esperado]])</f>
        <v>0</v>
      </c>
      <c r="I144">
        <v>0</v>
      </c>
    </row>
    <row r="145" spans="1:9">
      <c r="A145" s="18">
        <v>46460</v>
      </c>
      <c r="B145" t="str">
        <f t="shared" si="2"/>
        <v>DOMINGO</v>
      </c>
      <c r="C145">
        <v>159</v>
      </c>
      <c r="D145">
        <f>_xlfn.XLOOKUP(Tabla3[[#This Row],[Dia Semana]],Riesgo!A:A,Riesgo!B:B)</f>
        <v>0</v>
      </c>
      <c r="F145" s="17">
        <f>_xlfn.XLOOKUP(Tabla3[[#This Row],[Etapa]],Etapas!A:A,Etapas!B:B)</f>
        <v>0</v>
      </c>
      <c r="G145" s="17">
        <f>Tabla3[[#This Row],[% Op. Etapa]]*Tabla3[[#This Row],[Ratio]]</f>
        <v>0</v>
      </c>
      <c r="H145" s="17">
        <f>IF(Tabla3[[#This Row],[Noticia]]&gt;0,Tabla3[[#This Row],[% Esperado]]/2,Tabla3[[#This Row],[% Esperado]])</f>
        <v>0</v>
      </c>
      <c r="I145">
        <v>0</v>
      </c>
    </row>
    <row r="146" spans="1:9">
      <c r="A146" s="18">
        <v>46461</v>
      </c>
      <c r="B146" t="str">
        <f t="shared" si="2"/>
        <v>LUNES</v>
      </c>
      <c r="C146">
        <v>160</v>
      </c>
      <c r="D146">
        <f>_xlfn.XLOOKUP(Tabla3[[#This Row],[Dia Semana]],Riesgo!A:A,Riesgo!B:B)</f>
        <v>2</v>
      </c>
      <c r="F146" s="17">
        <f>_xlfn.XLOOKUP(Tabla3[[#This Row],[Etapa]],Etapas!A:A,Etapas!B:B)</f>
        <v>0</v>
      </c>
      <c r="G146" s="17">
        <f>Tabla3[[#This Row],[% Op. Etapa]]*Tabla3[[#This Row],[Ratio]]</f>
        <v>0</v>
      </c>
      <c r="H146" s="17">
        <f>IF(Tabla3[[#This Row],[Noticia]]&gt;0,Tabla3[[#This Row],[% Esperado]]/2,Tabla3[[#This Row],[% Esperado]])</f>
        <v>0</v>
      </c>
      <c r="I146">
        <v>0</v>
      </c>
    </row>
    <row r="147" spans="1:9">
      <c r="A147" s="18">
        <v>46462</v>
      </c>
      <c r="B147" t="str">
        <f t="shared" si="2"/>
        <v>MARTES</v>
      </c>
      <c r="C147">
        <v>161</v>
      </c>
      <c r="D147">
        <f>_xlfn.XLOOKUP(Tabla3[[#This Row],[Dia Semana]],Riesgo!A:A,Riesgo!B:B)</f>
        <v>2</v>
      </c>
      <c r="F147" s="17">
        <f>_xlfn.XLOOKUP(Tabla3[[#This Row],[Etapa]],Etapas!A:A,Etapas!B:B)</f>
        <v>0</v>
      </c>
      <c r="G147" s="17">
        <f>Tabla3[[#This Row],[% Op. Etapa]]*Tabla3[[#This Row],[Ratio]]</f>
        <v>0</v>
      </c>
      <c r="H147" s="17">
        <f>IF(Tabla3[[#This Row],[Noticia]]&gt;0,Tabla3[[#This Row],[% Esperado]]/2,Tabla3[[#This Row],[% Esperado]])</f>
        <v>0</v>
      </c>
      <c r="I147">
        <v>0</v>
      </c>
    </row>
    <row r="148" spans="1:9">
      <c r="A148" s="18">
        <v>46463</v>
      </c>
      <c r="B148" t="str">
        <f t="shared" si="2"/>
        <v>MIÉRCOLES</v>
      </c>
      <c r="C148">
        <v>162</v>
      </c>
      <c r="D148">
        <f>_xlfn.XLOOKUP(Tabla3[[#This Row],[Dia Semana]],Riesgo!A:A,Riesgo!B:B)</f>
        <v>1</v>
      </c>
      <c r="F148" s="17">
        <f>_xlfn.XLOOKUP(Tabla3[[#This Row],[Etapa]],Etapas!A:A,Etapas!B:B)</f>
        <v>0</v>
      </c>
      <c r="G148" s="17">
        <f>Tabla3[[#This Row],[% Op. Etapa]]*Tabla3[[#This Row],[Ratio]]</f>
        <v>0</v>
      </c>
      <c r="H148" s="17">
        <f>IF(Tabla3[[#This Row],[Noticia]]&gt;0,Tabla3[[#This Row],[% Esperado]]/2,Tabla3[[#This Row],[% Esperado]])</f>
        <v>0</v>
      </c>
      <c r="I148">
        <v>0</v>
      </c>
    </row>
    <row r="149" spans="1:9">
      <c r="A149" s="18">
        <v>46464</v>
      </c>
      <c r="B149" t="str">
        <f t="shared" si="2"/>
        <v>JUEVES</v>
      </c>
      <c r="C149">
        <v>163</v>
      </c>
      <c r="D149">
        <f>_xlfn.XLOOKUP(Tabla3[[#This Row],[Dia Semana]],Riesgo!A:A,Riesgo!B:B)</f>
        <v>2</v>
      </c>
      <c r="F149" s="17">
        <f>_xlfn.XLOOKUP(Tabla3[[#This Row],[Etapa]],Etapas!A:A,Etapas!B:B)</f>
        <v>0</v>
      </c>
      <c r="G149" s="17">
        <f>Tabla3[[#This Row],[% Op. Etapa]]*Tabla3[[#This Row],[Ratio]]</f>
        <v>0</v>
      </c>
      <c r="H149" s="17">
        <f>IF(Tabla3[[#This Row],[Noticia]]&gt;0,Tabla3[[#This Row],[% Esperado]]/2,Tabla3[[#This Row],[% Esperado]])</f>
        <v>0</v>
      </c>
      <c r="I149">
        <v>0</v>
      </c>
    </row>
    <row r="150" spans="1:9">
      <c r="A150" s="18">
        <v>46465</v>
      </c>
      <c r="B150" t="str">
        <f t="shared" si="2"/>
        <v>VIERNES</v>
      </c>
      <c r="C150">
        <v>164</v>
      </c>
      <c r="D150">
        <f>_xlfn.XLOOKUP(Tabla3[[#This Row],[Dia Semana]],Riesgo!A:A,Riesgo!B:B)</f>
        <v>1</v>
      </c>
      <c r="F150" s="17">
        <f>_xlfn.XLOOKUP(Tabla3[[#This Row],[Etapa]],Etapas!A:A,Etapas!B:B)</f>
        <v>0</v>
      </c>
      <c r="G150" s="17">
        <f>Tabla3[[#This Row],[% Op. Etapa]]*Tabla3[[#This Row],[Ratio]]</f>
        <v>0</v>
      </c>
      <c r="H150" s="17">
        <f>IF(Tabla3[[#This Row],[Noticia]]&gt;0,Tabla3[[#This Row],[% Esperado]]/2,Tabla3[[#This Row],[% Esperado]])</f>
        <v>0</v>
      </c>
      <c r="I150">
        <v>0</v>
      </c>
    </row>
    <row r="151" spans="1:9">
      <c r="A151" s="18">
        <v>46466</v>
      </c>
      <c r="B151" t="str">
        <f t="shared" si="2"/>
        <v>SÁBADO</v>
      </c>
      <c r="C151">
        <v>165</v>
      </c>
      <c r="D151">
        <f>_xlfn.XLOOKUP(Tabla3[[#This Row],[Dia Semana]],Riesgo!A:A,Riesgo!B:B)</f>
        <v>0</v>
      </c>
      <c r="F151" s="17">
        <f>_xlfn.XLOOKUP(Tabla3[[#This Row],[Etapa]],Etapas!A:A,Etapas!B:B)</f>
        <v>0</v>
      </c>
      <c r="G151" s="17">
        <f>Tabla3[[#This Row],[% Op. Etapa]]*Tabla3[[#This Row],[Ratio]]</f>
        <v>0</v>
      </c>
      <c r="H151" s="17">
        <f>IF(Tabla3[[#This Row],[Noticia]]&gt;0,Tabla3[[#This Row],[% Esperado]]/2,Tabla3[[#This Row],[% Esperado]])</f>
        <v>0</v>
      </c>
      <c r="I151">
        <v>0</v>
      </c>
    </row>
    <row r="152" spans="1:9">
      <c r="A152" s="18">
        <v>46467</v>
      </c>
      <c r="B152" t="str">
        <f t="shared" si="2"/>
        <v>DOMINGO</v>
      </c>
      <c r="C152">
        <v>166</v>
      </c>
      <c r="D152">
        <f>_xlfn.XLOOKUP(Tabla3[[#This Row],[Dia Semana]],Riesgo!A:A,Riesgo!B:B)</f>
        <v>0</v>
      </c>
      <c r="F152" s="17">
        <f>_xlfn.XLOOKUP(Tabla3[[#This Row],[Etapa]],Etapas!A:A,Etapas!B:B)</f>
        <v>0</v>
      </c>
      <c r="G152" s="17">
        <f>Tabla3[[#This Row],[% Op. Etapa]]*Tabla3[[#This Row],[Ratio]]</f>
        <v>0</v>
      </c>
      <c r="H152" s="17">
        <f>IF(Tabla3[[#This Row],[Noticia]]&gt;0,Tabla3[[#This Row],[% Esperado]]/2,Tabla3[[#This Row],[% Esperado]])</f>
        <v>0</v>
      </c>
      <c r="I152">
        <v>0</v>
      </c>
    </row>
    <row r="153" spans="1:9">
      <c r="A153" s="18">
        <v>46468</v>
      </c>
      <c r="B153" t="str">
        <f t="shared" si="2"/>
        <v>LUNES</v>
      </c>
      <c r="C153">
        <v>167</v>
      </c>
      <c r="D153">
        <f>_xlfn.XLOOKUP(Tabla3[[#This Row],[Dia Semana]],Riesgo!A:A,Riesgo!B:B)</f>
        <v>2</v>
      </c>
      <c r="F153" s="17">
        <f>_xlfn.XLOOKUP(Tabla3[[#This Row],[Etapa]],Etapas!A:A,Etapas!B:B)</f>
        <v>0</v>
      </c>
      <c r="G153" s="17">
        <f>Tabla3[[#This Row],[% Op. Etapa]]*Tabla3[[#This Row],[Ratio]]</f>
        <v>0</v>
      </c>
      <c r="H153" s="17">
        <f>IF(Tabla3[[#This Row],[Noticia]]&gt;0,Tabla3[[#This Row],[% Esperado]]/2,Tabla3[[#This Row],[% Esperado]])</f>
        <v>0</v>
      </c>
      <c r="I153">
        <v>0</v>
      </c>
    </row>
    <row r="154" spans="1:9">
      <c r="A154" s="18">
        <v>46469</v>
      </c>
      <c r="B154" t="str">
        <f t="shared" si="2"/>
        <v>MARTES</v>
      </c>
      <c r="C154">
        <v>168</v>
      </c>
      <c r="D154">
        <f>_xlfn.XLOOKUP(Tabla3[[#This Row],[Dia Semana]],Riesgo!A:A,Riesgo!B:B)</f>
        <v>2</v>
      </c>
      <c r="F154" s="17">
        <f>_xlfn.XLOOKUP(Tabla3[[#This Row],[Etapa]],Etapas!A:A,Etapas!B:B)</f>
        <v>0</v>
      </c>
      <c r="G154" s="17">
        <f>Tabla3[[#This Row],[% Op. Etapa]]*Tabla3[[#This Row],[Ratio]]</f>
        <v>0</v>
      </c>
      <c r="H154" s="17">
        <f>IF(Tabla3[[#This Row],[Noticia]]&gt;0,Tabla3[[#This Row],[% Esperado]]/2,Tabla3[[#This Row],[% Esperado]])</f>
        <v>0</v>
      </c>
      <c r="I154">
        <v>0</v>
      </c>
    </row>
    <row r="155" spans="1:9">
      <c r="A155" s="18">
        <v>46470</v>
      </c>
      <c r="B155" t="str">
        <f t="shared" si="2"/>
        <v>MIÉRCOLES</v>
      </c>
      <c r="C155">
        <v>169</v>
      </c>
      <c r="D155">
        <f>_xlfn.XLOOKUP(Tabla3[[#This Row],[Dia Semana]],Riesgo!A:A,Riesgo!B:B)</f>
        <v>1</v>
      </c>
      <c r="F155" s="17">
        <f>_xlfn.XLOOKUP(Tabla3[[#This Row],[Etapa]],Etapas!A:A,Etapas!B:B)</f>
        <v>0</v>
      </c>
      <c r="G155" s="17">
        <f>Tabla3[[#This Row],[% Op. Etapa]]*Tabla3[[#This Row],[Ratio]]</f>
        <v>0</v>
      </c>
      <c r="H155" s="17">
        <f>IF(Tabla3[[#This Row],[Noticia]]&gt;0,Tabla3[[#This Row],[% Esperado]]/2,Tabla3[[#This Row],[% Esperado]])</f>
        <v>0</v>
      </c>
      <c r="I155">
        <v>0</v>
      </c>
    </row>
    <row r="156" spans="1:9">
      <c r="A156" s="18">
        <v>46471</v>
      </c>
      <c r="B156" t="str">
        <f t="shared" si="2"/>
        <v>JUEVES</v>
      </c>
      <c r="C156">
        <v>170</v>
      </c>
      <c r="D156">
        <f>_xlfn.XLOOKUP(Tabla3[[#This Row],[Dia Semana]],Riesgo!A:A,Riesgo!B:B)</f>
        <v>2</v>
      </c>
      <c r="F156" s="17">
        <f>_xlfn.XLOOKUP(Tabla3[[#This Row],[Etapa]],Etapas!A:A,Etapas!B:B)</f>
        <v>0</v>
      </c>
      <c r="G156" s="17">
        <f>Tabla3[[#This Row],[% Op. Etapa]]*Tabla3[[#This Row],[Ratio]]</f>
        <v>0</v>
      </c>
      <c r="H156" s="17">
        <f>IF(Tabla3[[#This Row],[Noticia]]&gt;0,Tabla3[[#This Row],[% Esperado]]/2,Tabla3[[#This Row],[% Esperado]])</f>
        <v>0</v>
      </c>
      <c r="I156">
        <v>0</v>
      </c>
    </row>
    <row r="157" spans="1:9">
      <c r="A157" s="18">
        <v>46472</v>
      </c>
      <c r="B157" t="str">
        <f t="shared" si="2"/>
        <v>VIERNES</v>
      </c>
      <c r="C157">
        <v>171</v>
      </c>
      <c r="D157">
        <f>_xlfn.XLOOKUP(Tabla3[[#This Row],[Dia Semana]],Riesgo!A:A,Riesgo!B:B)</f>
        <v>1</v>
      </c>
      <c r="F157" s="17">
        <f>_xlfn.XLOOKUP(Tabla3[[#This Row],[Etapa]],Etapas!A:A,Etapas!B:B)</f>
        <v>0</v>
      </c>
      <c r="G157" s="17">
        <f>Tabla3[[#This Row],[% Op. Etapa]]*Tabla3[[#This Row],[Ratio]]</f>
        <v>0</v>
      </c>
      <c r="H157" s="17">
        <f>IF(Tabla3[[#This Row],[Noticia]]&gt;0,Tabla3[[#This Row],[% Esperado]]/2,Tabla3[[#This Row],[% Esperado]])</f>
        <v>0</v>
      </c>
      <c r="I157">
        <v>0</v>
      </c>
    </row>
    <row r="158" spans="1:9">
      <c r="A158" s="18">
        <v>46473</v>
      </c>
      <c r="B158" t="str">
        <f t="shared" si="2"/>
        <v>SÁBADO</v>
      </c>
      <c r="C158">
        <v>172</v>
      </c>
      <c r="D158">
        <f>_xlfn.XLOOKUP(Tabla3[[#This Row],[Dia Semana]],Riesgo!A:A,Riesgo!B:B)</f>
        <v>0</v>
      </c>
      <c r="F158" s="17">
        <f>_xlfn.XLOOKUP(Tabla3[[#This Row],[Etapa]],Etapas!A:A,Etapas!B:B)</f>
        <v>0</v>
      </c>
      <c r="G158" s="17">
        <f>Tabla3[[#This Row],[% Op. Etapa]]*Tabla3[[#This Row],[Ratio]]</f>
        <v>0</v>
      </c>
      <c r="H158" s="17">
        <f>IF(Tabla3[[#This Row],[Noticia]]&gt;0,Tabla3[[#This Row],[% Esperado]]/2,Tabla3[[#This Row],[% Esperado]])</f>
        <v>0</v>
      </c>
      <c r="I158">
        <v>0</v>
      </c>
    </row>
    <row r="159" spans="1:9">
      <c r="A159" s="18">
        <v>46474</v>
      </c>
      <c r="B159" t="str">
        <f t="shared" si="2"/>
        <v>DOMINGO</v>
      </c>
      <c r="C159">
        <v>173</v>
      </c>
      <c r="D159">
        <f>_xlfn.XLOOKUP(Tabla3[[#This Row],[Dia Semana]],Riesgo!A:A,Riesgo!B:B)</f>
        <v>0</v>
      </c>
      <c r="F159" s="17">
        <f>_xlfn.XLOOKUP(Tabla3[[#This Row],[Etapa]],Etapas!A:A,Etapas!B:B)</f>
        <v>0</v>
      </c>
      <c r="G159" s="17">
        <f>Tabla3[[#This Row],[% Op. Etapa]]*Tabla3[[#This Row],[Ratio]]</f>
        <v>0</v>
      </c>
      <c r="H159" s="17">
        <f>IF(Tabla3[[#This Row],[Noticia]]&gt;0,Tabla3[[#This Row],[% Esperado]]/2,Tabla3[[#This Row],[% Esperado]])</f>
        <v>0</v>
      </c>
      <c r="I159">
        <v>0</v>
      </c>
    </row>
    <row r="160" spans="1:9">
      <c r="A160" s="18">
        <v>46475</v>
      </c>
      <c r="B160" t="str">
        <f t="shared" si="2"/>
        <v>LUNES</v>
      </c>
      <c r="C160">
        <v>174</v>
      </c>
      <c r="D160">
        <f>_xlfn.XLOOKUP(Tabla3[[#This Row],[Dia Semana]],Riesgo!A:A,Riesgo!B:B)</f>
        <v>2</v>
      </c>
      <c r="F160" s="17">
        <f>_xlfn.XLOOKUP(Tabla3[[#This Row],[Etapa]],Etapas!A:A,Etapas!B:B)</f>
        <v>0</v>
      </c>
      <c r="G160" s="17">
        <f>Tabla3[[#This Row],[% Op. Etapa]]*Tabla3[[#This Row],[Ratio]]</f>
        <v>0</v>
      </c>
      <c r="H160" s="17">
        <f>IF(Tabla3[[#This Row],[Noticia]]&gt;0,Tabla3[[#This Row],[% Esperado]]/2,Tabla3[[#This Row],[% Esperado]])</f>
        <v>0</v>
      </c>
      <c r="I160">
        <v>0</v>
      </c>
    </row>
    <row r="161" spans="1:9">
      <c r="A161" s="18">
        <v>46476</v>
      </c>
      <c r="B161" t="str">
        <f t="shared" si="2"/>
        <v>MARTES</v>
      </c>
      <c r="C161">
        <v>175</v>
      </c>
      <c r="D161">
        <f>_xlfn.XLOOKUP(Tabla3[[#This Row],[Dia Semana]],Riesgo!A:A,Riesgo!B:B)</f>
        <v>2</v>
      </c>
      <c r="F161" s="17">
        <f>_xlfn.XLOOKUP(Tabla3[[#This Row],[Etapa]],Etapas!A:A,Etapas!B:B)</f>
        <v>0</v>
      </c>
      <c r="G161" s="17">
        <f>Tabla3[[#This Row],[% Op. Etapa]]*Tabla3[[#This Row],[Ratio]]</f>
        <v>0</v>
      </c>
      <c r="H161" s="17">
        <f>IF(Tabla3[[#This Row],[Noticia]]&gt;0,Tabla3[[#This Row],[% Esperado]]/2,Tabla3[[#This Row],[% Esperado]])</f>
        <v>0</v>
      </c>
      <c r="I161">
        <v>0</v>
      </c>
    </row>
    <row r="162" spans="1:9">
      <c r="A162" s="18">
        <v>46477</v>
      </c>
      <c r="B162" t="str">
        <f t="shared" si="2"/>
        <v>MIÉRCOLES</v>
      </c>
      <c r="C162">
        <v>176</v>
      </c>
      <c r="D162">
        <f>_xlfn.XLOOKUP(Tabla3[[#This Row],[Dia Semana]],Riesgo!A:A,Riesgo!B:B)</f>
        <v>1</v>
      </c>
      <c r="F162" s="17">
        <f>_xlfn.XLOOKUP(Tabla3[[#This Row],[Etapa]],Etapas!A:A,Etapas!B:B)</f>
        <v>0</v>
      </c>
      <c r="G162" s="17">
        <f>Tabla3[[#This Row],[% Op. Etapa]]*Tabla3[[#This Row],[Ratio]]</f>
        <v>0</v>
      </c>
      <c r="H162" s="17">
        <f>IF(Tabla3[[#This Row],[Noticia]]&gt;0,Tabla3[[#This Row],[% Esperado]]/2,Tabla3[[#This Row],[% Esperado]])</f>
        <v>0</v>
      </c>
      <c r="I162">
        <v>0</v>
      </c>
    </row>
    <row r="163" spans="1:9">
      <c r="A163" s="18">
        <v>46478</v>
      </c>
      <c r="B163" t="str">
        <f t="shared" si="2"/>
        <v>JUEVES</v>
      </c>
      <c r="C163">
        <v>177</v>
      </c>
      <c r="D163">
        <f>_xlfn.XLOOKUP(Tabla3[[#This Row],[Dia Semana]],Riesgo!A:A,Riesgo!B:B)</f>
        <v>2</v>
      </c>
      <c r="F163" s="17">
        <f>_xlfn.XLOOKUP(Tabla3[[#This Row],[Etapa]],Etapas!A:A,Etapas!B:B)</f>
        <v>0</v>
      </c>
      <c r="G163" s="17">
        <f>Tabla3[[#This Row],[% Op. Etapa]]*Tabla3[[#This Row],[Ratio]]</f>
        <v>0</v>
      </c>
      <c r="H163" s="17">
        <f>IF(Tabla3[[#This Row],[Noticia]]&gt;0,Tabla3[[#This Row],[% Esperado]]/2,Tabla3[[#This Row],[% Esperado]])</f>
        <v>0</v>
      </c>
      <c r="I163">
        <v>0</v>
      </c>
    </row>
    <row r="164" spans="1:9">
      <c r="A164" s="18">
        <v>46479</v>
      </c>
      <c r="B164" t="str">
        <f t="shared" si="2"/>
        <v>VIERNES</v>
      </c>
      <c r="C164">
        <v>178</v>
      </c>
      <c r="D164">
        <f>_xlfn.XLOOKUP(Tabla3[[#This Row],[Dia Semana]],Riesgo!A:A,Riesgo!B:B)</f>
        <v>1</v>
      </c>
      <c r="F164" s="17">
        <f>_xlfn.XLOOKUP(Tabla3[[#This Row],[Etapa]],Etapas!A:A,Etapas!B:B)</f>
        <v>0</v>
      </c>
      <c r="G164" s="17">
        <f>Tabla3[[#This Row],[% Op. Etapa]]*Tabla3[[#This Row],[Ratio]]</f>
        <v>0</v>
      </c>
      <c r="H164" s="17">
        <f>IF(Tabla3[[#This Row],[Noticia]]&gt;0,Tabla3[[#This Row],[% Esperado]]/2,Tabla3[[#This Row],[% Esperado]])</f>
        <v>0</v>
      </c>
      <c r="I164">
        <v>0</v>
      </c>
    </row>
    <row r="165" spans="1:9">
      <c r="A165" s="18">
        <v>46480</v>
      </c>
      <c r="B165" t="str">
        <f t="shared" si="2"/>
        <v>SÁBADO</v>
      </c>
      <c r="C165">
        <v>179</v>
      </c>
      <c r="D165">
        <f>_xlfn.XLOOKUP(Tabla3[[#This Row],[Dia Semana]],Riesgo!A:A,Riesgo!B:B)</f>
        <v>0</v>
      </c>
      <c r="F165" s="17">
        <f>_xlfn.XLOOKUP(Tabla3[[#This Row],[Etapa]],Etapas!A:A,Etapas!B:B)</f>
        <v>0</v>
      </c>
      <c r="G165" s="17">
        <f>Tabla3[[#This Row],[% Op. Etapa]]*Tabla3[[#This Row],[Ratio]]</f>
        <v>0</v>
      </c>
      <c r="H165" s="17">
        <f>IF(Tabla3[[#This Row],[Noticia]]&gt;0,Tabla3[[#This Row],[% Esperado]]/2,Tabla3[[#This Row],[% Esperado]])</f>
        <v>0</v>
      </c>
      <c r="I165">
        <v>0</v>
      </c>
    </row>
    <row r="166" spans="1:9">
      <c r="A166" s="18">
        <v>46481</v>
      </c>
      <c r="B166" t="str">
        <f t="shared" si="2"/>
        <v>DOMINGO</v>
      </c>
      <c r="C166">
        <v>180</v>
      </c>
      <c r="D166">
        <f>_xlfn.XLOOKUP(Tabla3[[#This Row],[Dia Semana]],Riesgo!A:A,Riesgo!B:B)</f>
        <v>0</v>
      </c>
      <c r="F166" s="17">
        <f>_xlfn.XLOOKUP(Tabla3[[#This Row],[Etapa]],Etapas!A:A,Etapas!B:B)</f>
        <v>0</v>
      </c>
      <c r="G166" s="17">
        <f>Tabla3[[#This Row],[% Op. Etapa]]*Tabla3[[#This Row],[Ratio]]</f>
        <v>0</v>
      </c>
      <c r="H166" s="17">
        <f>IF(Tabla3[[#This Row],[Noticia]]&gt;0,Tabla3[[#This Row],[% Esperado]]/2,Tabla3[[#This Row],[% Esperado]])</f>
        <v>0</v>
      </c>
      <c r="I166">
        <v>0</v>
      </c>
    </row>
    <row r="167" spans="1:9">
      <c r="A167" s="18">
        <v>46482</v>
      </c>
      <c r="B167" t="str">
        <f t="shared" si="2"/>
        <v>LUNES</v>
      </c>
      <c r="C167">
        <v>181</v>
      </c>
      <c r="D167">
        <f>_xlfn.XLOOKUP(Tabla3[[#This Row],[Dia Semana]],Riesgo!A:A,Riesgo!B:B)</f>
        <v>2</v>
      </c>
      <c r="F167" s="17">
        <f>_xlfn.XLOOKUP(Tabla3[[#This Row],[Etapa]],Etapas!A:A,Etapas!B:B)</f>
        <v>0</v>
      </c>
      <c r="G167" s="17">
        <f>Tabla3[[#This Row],[% Op. Etapa]]*Tabla3[[#This Row],[Ratio]]</f>
        <v>0</v>
      </c>
      <c r="H167" s="17">
        <f>IF(Tabla3[[#This Row],[Noticia]]&gt;0,Tabla3[[#This Row],[% Esperado]]/2,Tabla3[[#This Row],[% Esperado]])</f>
        <v>0</v>
      </c>
      <c r="I167">
        <v>0</v>
      </c>
    </row>
    <row r="168" spans="1:9">
      <c r="A168" s="18">
        <v>46483</v>
      </c>
      <c r="B168" t="str">
        <f t="shared" si="2"/>
        <v>MARTES</v>
      </c>
      <c r="C168">
        <v>182</v>
      </c>
      <c r="D168">
        <f>_xlfn.XLOOKUP(Tabla3[[#This Row],[Dia Semana]],Riesgo!A:A,Riesgo!B:B)</f>
        <v>2</v>
      </c>
      <c r="F168" s="17">
        <f>_xlfn.XLOOKUP(Tabla3[[#This Row],[Etapa]],Etapas!A:A,Etapas!B:B)</f>
        <v>0</v>
      </c>
      <c r="G168" s="17">
        <f>Tabla3[[#This Row],[% Op. Etapa]]*Tabla3[[#This Row],[Ratio]]</f>
        <v>0</v>
      </c>
      <c r="H168" s="17">
        <f>IF(Tabla3[[#This Row],[Noticia]]&gt;0,Tabla3[[#This Row],[% Esperado]]/2,Tabla3[[#This Row],[% Esperado]])</f>
        <v>0</v>
      </c>
      <c r="I168">
        <v>0</v>
      </c>
    </row>
    <row r="169" spans="1:9">
      <c r="A169" s="18">
        <v>46484</v>
      </c>
      <c r="B169" t="str">
        <f t="shared" si="2"/>
        <v>MIÉRCOLES</v>
      </c>
      <c r="C169">
        <v>183</v>
      </c>
      <c r="D169">
        <f>_xlfn.XLOOKUP(Tabla3[[#This Row],[Dia Semana]],Riesgo!A:A,Riesgo!B:B)</f>
        <v>1</v>
      </c>
      <c r="F169" s="17">
        <f>_xlfn.XLOOKUP(Tabla3[[#This Row],[Etapa]],Etapas!A:A,Etapas!B:B)</f>
        <v>0</v>
      </c>
      <c r="G169" s="17">
        <f>Tabla3[[#This Row],[% Op. Etapa]]*Tabla3[[#This Row],[Ratio]]</f>
        <v>0</v>
      </c>
      <c r="H169" s="17">
        <f>IF(Tabla3[[#This Row],[Noticia]]&gt;0,Tabla3[[#This Row],[% Esperado]]/2,Tabla3[[#This Row],[% Esperado]])</f>
        <v>0</v>
      </c>
      <c r="I169">
        <v>0</v>
      </c>
    </row>
    <row r="170" spans="1:9">
      <c r="A170" s="18">
        <v>46485</v>
      </c>
      <c r="B170" t="str">
        <f t="shared" si="2"/>
        <v>JUEVES</v>
      </c>
      <c r="C170">
        <v>184</v>
      </c>
      <c r="D170">
        <f>_xlfn.XLOOKUP(Tabla3[[#This Row],[Dia Semana]],Riesgo!A:A,Riesgo!B:B)</f>
        <v>2</v>
      </c>
      <c r="F170" s="17">
        <f>_xlfn.XLOOKUP(Tabla3[[#This Row],[Etapa]],Etapas!A:A,Etapas!B:B)</f>
        <v>0</v>
      </c>
      <c r="G170" s="17">
        <f>Tabla3[[#This Row],[% Op. Etapa]]*Tabla3[[#This Row],[Ratio]]</f>
        <v>0</v>
      </c>
      <c r="H170" s="17">
        <f>IF(Tabla3[[#This Row],[Noticia]]&gt;0,Tabla3[[#This Row],[% Esperado]]/2,Tabla3[[#This Row],[% Esperado]])</f>
        <v>0</v>
      </c>
      <c r="I170">
        <v>0</v>
      </c>
    </row>
    <row r="171" spans="1:9">
      <c r="A171" s="18">
        <v>46486</v>
      </c>
      <c r="B171" t="str">
        <f t="shared" si="2"/>
        <v>VIERNES</v>
      </c>
      <c r="C171">
        <v>185</v>
      </c>
      <c r="D171">
        <f>_xlfn.XLOOKUP(Tabla3[[#This Row],[Dia Semana]],Riesgo!A:A,Riesgo!B:B)</f>
        <v>1</v>
      </c>
      <c r="F171" s="17">
        <f>_xlfn.XLOOKUP(Tabla3[[#This Row],[Etapa]],Etapas!A:A,Etapas!B:B)</f>
        <v>0</v>
      </c>
      <c r="G171" s="17">
        <f>Tabla3[[#This Row],[% Op. Etapa]]*Tabla3[[#This Row],[Ratio]]</f>
        <v>0</v>
      </c>
      <c r="H171" s="17">
        <f>IF(Tabla3[[#This Row],[Noticia]]&gt;0,Tabla3[[#This Row],[% Esperado]]/2,Tabla3[[#This Row],[% Esperado]])</f>
        <v>0</v>
      </c>
      <c r="I171">
        <v>0</v>
      </c>
    </row>
    <row r="172" spans="1:9">
      <c r="A172" s="18">
        <v>46487</v>
      </c>
      <c r="B172" t="str">
        <f t="shared" si="2"/>
        <v>SÁBADO</v>
      </c>
      <c r="C172">
        <v>186</v>
      </c>
      <c r="D172">
        <f>_xlfn.XLOOKUP(Tabla3[[#This Row],[Dia Semana]],Riesgo!A:A,Riesgo!B:B)</f>
        <v>0</v>
      </c>
      <c r="F172" s="17">
        <f>_xlfn.XLOOKUP(Tabla3[[#This Row],[Etapa]],Etapas!A:A,Etapas!B:B)</f>
        <v>0</v>
      </c>
      <c r="G172" s="17">
        <f>Tabla3[[#This Row],[% Op. Etapa]]*Tabla3[[#This Row],[Ratio]]</f>
        <v>0</v>
      </c>
      <c r="H172" s="17">
        <f>IF(Tabla3[[#This Row],[Noticia]]&gt;0,Tabla3[[#This Row],[% Esperado]]/2,Tabla3[[#This Row],[% Esperado]])</f>
        <v>0</v>
      </c>
      <c r="I172">
        <v>0</v>
      </c>
    </row>
    <row r="173" spans="1:9">
      <c r="A173" s="18">
        <v>46488</v>
      </c>
      <c r="B173" t="str">
        <f t="shared" si="2"/>
        <v>DOMINGO</v>
      </c>
      <c r="C173">
        <v>187</v>
      </c>
      <c r="D173">
        <f>_xlfn.XLOOKUP(Tabla3[[#This Row],[Dia Semana]],Riesgo!A:A,Riesgo!B:B)</f>
        <v>0</v>
      </c>
      <c r="F173" s="17">
        <f>_xlfn.XLOOKUP(Tabla3[[#This Row],[Etapa]],Etapas!A:A,Etapas!B:B)</f>
        <v>0</v>
      </c>
      <c r="G173" s="17">
        <f>Tabla3[[#This Row],[% Op. Etapa]]*Tabla3[[#This Row],[Ratio]]</f>
        <v>0</v>
      </c>
      <c r="H173" s="17">
        <f>IF(Tabla3[[#This Row],[Noticia]]&gt;0,Tabla3[[#This Row],[% Esperado]]/2,Tabla3[[#This Row],[% Esperado]])</f>
        <v>0</v>
      </c>
      <c r="I173">
        <v>0</v>
      </c>
    </row>
    <row r="174" spans="1:9">
      <c r="A174" s="18">
        <v>46489</v>
      </c>
      <c r="B174" t="str">
        <f t="shared" si="2"/>
        <v>LUNES</v>
      </c>
      <c r="C174">
        <v>188</v>
      </c>
      <c r="D174">
        <f>_xlfn.XLOOKUP(Tabla3[[#This Row],[Dia Semana]],Riesgo!A:A,Riesgo!B:B)</f>
        <v>2</v>
      </c>
      <c r="F174" s="17">
        <f>_xlfn.XLOOKUP(Tabla3[[#This Row],[Etapa]],Etapas!A:A,Etapas!B:B)</f>
        <v>0</v>
      </c>
      <c r="G174" s="17">
        <f>Tabla3[[#This Row],[% Op. Etapa]]*Tabla3[[#This Row],[Ratio]]</f>
        <v>0</v>
      </c>
      <c r="H174" s="17">
        <f>IF(Tabla3[[#This Row],[Noticia]]&gt;0,Tabla3[[#This Row],[% Esperado]]/2,Tabla3[[#This Row],[% Esperado]])</f>
        <v>0</v>
      </c>
      <c r="I174">
        <v>0</v>
      </c>
    </row>
    <row r="175" spans="1:9">
      <c r="A175" s="18">
        <v>46490</v>
      </c>
      <c r="B175" t="str">
        <f t="shared" si="2"/>
        <v>MARTES</v>
      </c>
      <c r="C175">
        <v>189</v>
      </c>
      <c r="D175">
        <f>_xlfn.XLOOKUP(Tabla3[[#This Row],[Dia Semana]],Riesgo!A:A,Riesgo!B:B)</f>
        <v>2</v>
      </c>
      <c r="F175" s="17">
        <f>_xlfn.XLOOKUP(Tabla3[[#This Row],[Etapa]],Etapas!A:A,Etapas!B:B)</f>
        <v>0</v>
      </c>
      <c r="G175" s="17">
        <f>Tabla3[[#This Row],[% Op. Etapa]]*Tabla3[[#This Row],[Ratio]]</f>
        <v>0</v>
      </c>
      <c r="H175" s="17">
        <f>IF(Tabla3[[#This Row],[Noticia]]&gt;0,Tabla3[[#This Row],[% Esperado]]/2,Tabla3[[#This Row],[% Esperado]])</f>
        <v>0</v>
      </c>
      <c r="I175">
        <v>0</v>
      </c>
    </row>
    <row r="176" spans="1:9">
      <c r="A176" s="18">
        <v>46491</v>
      </c>
      <c r="B176" t="str">
        <f t="shared" si="2"/>
        <v>MIÉRCOLES</v>
      </c>
      <c r="C176">
        <v>190</v>
      </c>
      <c r="D176">
        <f>_xlfn.XLOOKUP(Tabla3[[#This Row],[Dia Semana]],Riesgo!A:A,Riesgo!B:B)</f>
        <v>1</v>
      </c>
      <c r="F176" s="17">
        <f>_xlfn.XLOOKUP(Tabla3[[#This Row],[Etapa]],Etapas!A:A,Etapas!B:B)</f>
        <v>0</v>
      </c>
      <c r="G176" s="17">
        <f>Tabla3[[#This Row],[% Op. Etapa]]*Tabla3[[#This Row],[Ratio]]</f>
        <v>0</v>
      </c>
      <c r="H176" s="17">
        <f>IF(Tabla3[[#This Row],[Noticia]]&gt;0,Tabla3[[#This Row],[% Esperado]]/2,Tabla3[[#This Row],[% Esperado]])</f>
        <v>0</v>
      </c>
      <c r="I176">
        <v>0</v>
      </c>
    </row>
    <row r="177" spans="1:9">
      <c r="A177" s="18">
        <v>46492</v>
      </c>
      <c r="B177" t="str">
        <f t="shared" si="2"/>
        <v>JUEVES</v>
      </c>
      <c r="C177">
        <v>191</v>
      </c>
      <c r="D177">
        <f>_xlfn.XLOOKUP(Tabla3[[#This Row],[Dia Semana]],Riesgo!A:A,Riesgo!B:B)</f>
        <v>2</v>
      </c>
      <c r="F177" s="17">
        <f>_xlfn.XLOOKUP(Tabla3[[#This Row],[Etapa]],Etapas!A:A,Etapas!B:B)</f>
        <v>0</v>
      </c>
      <c r="G177" s="17">
        <f>Tabla3[[#This Row],[% Op. Etapa]]*Tabla3[[#This Row],[Ratio]]</f>
        <v>0</v>
      </c>
      <c r="H177" s="17">
        <f>IF(Tabla3[[#This Row],[Noticia]]&gt;0,Tabla3[[#This Row],[% Esperado]]/2,Tabla3[[#This Row],[% Esperado]])</f>
        <v>0</v>
      </c>
      <c r="I177">
        <v>0</v>
      </c>
    </row>
    <row r="178" spans="1:9">
      <c r="A178" s="18">
        <v>46493</v>
      </c>
      <c r="B178" t="str">
        <f t="shared" si="2"/>
        <v>VIERNES</v>
      </c>
      <c r="C178">
        <v>192</v>
      </c>
      <c r="D178">
        <f>_xlfn.XLOOKUP(Tabla3[[#This Row],[Dia Semana]],Riesgo!A:A,Riesgo!B:B)</f>
        <v>1</v>
      </c>
      <c r="F178" s="17">
        <f>_xlfn.XLOOKUP(Tabla3[[#This Row],[Etapa]],Etapas!A:A,Etapas!B:B)</f>
        <v>0</v>
      </c>
      <c r="G178" s="17">
        <f>Tabla3[[#This Row],[% Op. Etapa]]*Tabla3[[#This Row],[Ratio]]</f>
        <v>0</v>
      </c>
      <c r="H178" s="17">
        <f>IF(Tabla3[[#This Row],[Noticia]]&gt;0,Tabla3[[#This Row],[% Esperado]]/2,Tabla3[[#This Row],[% Esperado]])</f>
        <v>0</v>
      </c>
      <c r="I178">
        <v>0</v>
      </c>
    </row>
    <row r="179" spans="1:9">
      <c r="A179" s="18">
        <v>46494</v>
      </c>
      <c r="B179" t="str">
        <f t="shared" si="2"/>
        <v>SÁBADO</v>
      </c>
      <c r="C179">
        <v>193</v>
      </c>
      <c r="D179">
        <f>_xlfn.XLOOKUP(Tabla3[[#This Row],[Dia Semana]],Riesgo!A:A,Riesgo!B:B)</f>
        <v>0</v>
      </c>
      <c r="F179" s="17">
        <f>_xlfn.XLOOKUP(Tabla3[[#This Row],[Etapa]],Etapas!A:A,Etapas!B:B)</f>
        <v>0</v>
      </c>
      <c r="G179" s="17">
        <f>Tabla3[[#This Row],[% Op. Etapa]]*Tabla3[[#This Row],[Ratio]]</f>
        <v>0</v>
      </c>
      <c r="H179" s="17">
        <f>IF(Tabla3[[#This Row],[Noticia]]&gt;0,Tabla3[[#This Row],[% Esperado]]/2,Tabla3[[#This Row],[% Esperado]])</f>
        <v>0</v>
      </c>
      <c r="I179">
        <v>0</v>
      </c>
    </row>
    <row r="180" spans="1:9">
      <c r="A180" s="18">
        <v>46495</v>
      </c>
      <c r="B180" t="str">
        <f t="shared" si="2"/>
        <v>DOMINGO</v>
      </c>
      <c r="C180">
        <v>194</v>
      </c>
      <c r="D180">
        <f>_xlfn.XLOOKUP(Tabla3[[#This Row],[Dia Semana]],Riesgo!A:A,Riesgo!B:B)</f>
        <v>0</v>
      </c>
      <c r="F180" s="17">
        <f>_xlfn.XLOOKUP(Tabla3[[#This Row],[Etapa]],Etapas!A:A,Etapas!B:B)</f>
        <v>0</v>
      </c>
      <c r="G180" s="17">
        <f>Tabla3[[#This Row],[% Op. Etapa]]*Tabla3[[#This Row],[Ratio]]</f>
        <v>0</v>
      </c>
      <c r="H180" s="17">
        <f>IF(Tabla3[[#This Row],[Noticia]]&gt;0,Tabla3[[#This Row],[% Esperado]]/2,Tabla3[[#This Row],[% Esperado]])</f>
        <v>0</v>
      </c>
      <c r="I180">
        <v>0</v>
      </c>
    </row>
    <row r="181" spans="1:9">
      <c r="A181" s="18">
        <v>46496</v>
      </c>
      <c r="B181" t="str">
        <f t="shared" si="2"/>
        <v>LUNES</v>
      </c>
      <c r="C181">
        <v>195</v>
      </c>
      <c r="D181">
        <f>_xlfn.XLOOKUP(Tabla3[[#This Row],[Dia Semana]],Riesgo!A:A,Riesgo!B:B)</f>
        <v>2</v>
      </c>
      <c r="F181" s="17">
        <f>_xlfn.XLOOKUP(Tabla3[[#This Row],[Etapa]],Etapas!A:A,Etapas!B:B)</f>
        <v>0</v>
      </c>
      <c r="G181" s="17">
        <f>Tabla3[[#This Row],[% Op. Etapa]]*Tabla3[[#This Row],[Ratio]]</f>
        <v>0</v>
      </c>
      <c r="H181" s="17">
        <f>IF(Tabla3[[#This Row],[Noticia]]&gt;0,Tabla3[[#This Row],[% Esperado]]/2,Tabla3[[#This Row],[% Esperado]])</f>
        <v>0</v>
      </c>
      <c r="I181">
        <v>0</v>
      </c>
    </row>
    <row r="182" spans="1:9">
      <c r="A182" s="18">
        <v>46497</v>
      </c>
      <c r="B182" t="str">
        <f t="shared" si="2"/>
        <v>MARTES</v>
      </c>
      <c r="C182">
        <v>196</v>
      </c>
      <c r="D182">
        <f>_xlfn.XLOOKUP(Tabla3[[#This Row],[Dia Semana]],Riesgo!A:A,Riesgo!B:B)</f>
        <v>2</v>
      </c>
      <c r="F182" s="17">
        <f>_xlfn.XLOOKUP(Tabla3[[#This Row],[Etapa]],Etapas!A:A,Etapas!B:B)</f>
        <v>0</v>
      </c>
      <c r="G182" s="17">
        <f>Tabla3[[#This Row],[% Op. Etapa]]*Tabla3[[#This Row],[Ratio]]</f>
        <v>0</v>
      </c>
      <c r="H182" s="17">
        <f>IF(Tabla3[[#This Row],[Noticia]]&gt;0,Tabla3[[#This Row],[% Esperado]]/2,Tabla3[[#This Row],[% Esperado]])</f>
        <v>0</v>
      </c>
      <c r="I182">
        <v>0</v>
      </c>
    </row>
    <row r="183" spans="1:9">
      <c r="A183" s="18">
        <v>46498</v>
      </c>
      <c r="B183" t="str">
        <f t="shared" si="2"/>
        <v>MIÉRCOLES</v>
      </c>
      <c r="C183">
        <v>197</v>
      </c>
      <c r="D183">
        <f>_xlfn.XLOOKUP(Tabla3[[#This Row],[Dia Semana]],Riesgo!A:A,Riesgo!B:B)</f>
        <v>1</v>
      </c>
      <c r="F183" s="17">
        <f>_xlfn.XLOOKUP(Tabla3[[#This Row],[Etapa]],Etapas!A:A,Etapas!B:B)</f>
        <v>0</v>
      </c>
      <c r="G183" s="17">
        <f>Tabla3[[#This Row],[% Op. Etapa]]*Tabla3[[#This Row],[Ratio]]</f>
        <v>0</v>
      </c>
      <c r="H183" s="17">
        <f>IF(Tabla3[[#This Row],[Noticia]]&gt;0,Tabla3[[#This Row],[% Esperado]]/2,Tabla3[[#This Row],[% Esperado]])</f>
        <v>0</v>
      </c>
      <c r="I183">
        <v>0</v>
      </c>
    </row>
    <row r="184" spans="1:9">
      <c r="A184" s="18">
        <v>46499</v>
      </c>
      <c r="B184" t="str">
        <f t="shared" si="2"/>
        <v>JUEVES</v>
      </c>
      <c r="C184">
        <v>198</v>
      </c>
      <c r="D184">
        <f>_xlfn.XLOOKUP(Tabla3[[#This Row],[Dia Semana]],Riesgo!A:A,Riesgo!B:B)</f>
        <v>2</v>
      </c>
      <c r="F184" s="17">
        <f>_xlfn.XLOOKUP(Tabla3[[#This Row],[Etapa]],Etapas!A:A,Etapas!B:B)</f>
        <v>0</v>
      </c>
      <c r="G184" s="17">
        <f>Tabla3[[#This Row],[% Op. Etapa]]*Tabla3[[#This Row],[Ratio]]</f>
        <v>0</v>
      </c>
      <c r="H184" s="17">
        <f>IF(Tabla3[[#This Row],[Noticia]]&gt;0,Tabla3[[#This Row],[% Esperado]]/2,Tabla3[[#This Row],[% Esperado]])</f>
        <v>0</v>
      </c>
      <c r="I184">
        <v>0</v>
      </c>
    </row>
    <row r="185" spans="1:9">
      <c r="A185" s="18">
        <v>46500</v>
      </c>
      <c r="B185" t="str">
        <f t="shared" si="2"/>
        <v>VIERNES</v>
      </c>
      <c r="C185">
        <v>199</v>
      </c>
      <c r="D185">
        <f>_xlfn.XLOOKUP(Tabla3[[#This Row],[Dia Semana]],Riesgo!A:A,Riesgo!B:B)</f>
        <v>1</v>
      </c>
      <c r="F185" s="17">
        <f>_xlfn.XLOOKUP(Tabla3[[#This Row],[Etapa]],Etapas!A:A,Etapas!B:B)</f>
        <v>0</v>
      </c>
      <c r="G185" s="17">
        <f>Tabla3[[#This Row],[% Op. Etapa]]*Tabla3[[#This Row],[Ratio]]</f>
        <v>0</v>
      </c>
      <c r="H185" s="17">
        <f>IF(Tabla3[[#This Row],[Noticia]]&gt;0,Tabla3[[#This Row],[% Esperado]]/2,Tabla3[[#This Row],[% Esperado]])</f>
        <v>0</v>
      </c>
      <c r="I185">
        <v>0</v>
      </c>
    </row>
    <row r="186" spans="1:9">
      <c r="A186" s="18">
        <v>46501</v>
      </c>
      <c r="B186" t="str">
        <f t="shared" si="2"/>
        <v>SÁBADO</v>
      </c>
      <c r="C186">
        <v>200</v>
      </c>
      <c r="D186">
        <f>_xlfn.XLOOKUP(Tabla3[[#This Row],[Dia Semana]],Riesgo!A:A,Riesgo!B:B)</f>
        <v>0</v>
      </c>
      <c r="F186" s="17">
        <f>_xlfn.XLOOKUP(Tabla3[[#This Row],[Etapa]],Etapas!A:A,Etapas!B:B)</f>
        <v>0</v>
      </c>
      <c r="G186" s="17">
        <f>Tabla3[[#This Row],[% Op. Etapa]]*Tabla3[[#This Row],[Ratio]]</f>
        <v>0</v>
      </c>
      <c r="H186" s="17">
        <f>IF(Tabla3[[#This Row],[Noticia]]&gt;0,Tabla3[[#This Row],[% Esperado]]/2,Tabla3[[#This Row],[% Esperado]])</f>
        <v>0</v>
      </c>
      <c r="I186">
        <v>0</v>
      </c>
    </row>
    <row r="187" spans="1:9">
      <c r="A187" s="18">
        <v>46502</v>
      </c>
      <c r="B187" t="str">
        <f t="shared" si="2"/>
        <v>DOMINGO</v>
      </c>
      <c r="C187">
        <v>201</v>
      </c>
      <c r="D187">
        <f>_xlfn.XLOOKUP(Tabla3[[#This Row],[Dia Semana]],Riesgo!A:A,Riesgo!B:B)</f>
        <v>0</v>
      </c>
      <c r="F187" s="17">
        <f>_xlfn.XLOOKUP(Tabla3[[#This Row],[Etapa]],Etapas!A:A,Etapas!B:B)</f>
        <v>0</v>
      </c>
      <c r="G187" s="17">
        <f>Tabla3[[#This Row],[% Op. Etapa]]*Tabla3[[#This Row],[Ratio]]</f>
        <v>0</v>
      </c>
      <c r="H187" s="17">
        <f>IF(Tabla3[[#This Row],[Noticia]]&gt;0,Tabla3[[#This Row],[% Esperado]]/2,Tabla3[[#This Row],[% Esperado]])</f>
        <v>0</v>
      </c>
      <c r="I187">
        <v>0</v>
      </c>
    </row>
    <row r="188" spans="1:9">
      <c r="A188" s="18">
        <v>46503</v>
      </c>
      <c r="B188" t="str">
        <f t="shared" si="2"/>
        <v>LUNES</v>
      </c>
      <c r="C188">
        <v>202</v>
      </c>
      <c r="D188">
        <f>_xlfn.XLOOKUP(Tabla3[[#This Row],[Dia Semana]],Riesgo!A:A,Riesgo!B:B)</f>
        <v>2</v>
      </c>
      <c r="F188" s="17">
        <f>_xlfn.XLOOKUP(Tabla3[[#This Row],[Etapa]],Etapas!A:A,Etapas!B:B)</f>
        <v>0</v>
      </c>
      <c r="G188" s="17">
        <f>Tabla3[[#This Row],[% Op. Etapa]]*Tabla3[[#This Row],[Ratio]]</f>
        <v>0</v>
      </c>
      <c r="H188" s="17">
        <f>IF(Tabla3[[#This Row],[Noticia]]&gt;0,Tabla3[[#This Row],[% Esperado]]/2,Tabla3[[#This Row],[% Esperado]])</f>
        <v>0</v>
      </c>
      <c r="I188">
        <v>0</v>
      </c>
    </row>
    <row r="189" spans="1:9">
      <c r="A189" s="18">
        <v>46504</v>
      </c>
      <c r="B189" t="str">
        <f t="shared" si="2"/>
        <v>MARTES</v>
      </c>
      <c r="C189">
        <v>203</v>
      </c>
      <c r="D189">
        <f>_xlfn.XLOOKUP(Tabla3[[#This Row],[Dia Semana]],Riesgo!A:A,Riesgo!B:B)</f>
        <v>2</v>
      </c>
      <c r="F189" s="17">
        <f>_xlfn.XLOOKUP(Tabla3[[#This Row],[Etapa]],Etapas!A:A,Etapas!B:B)</f>
        <v>0</v>
      </c>
      <c r="G189" s="17">
        <f>Tabla3[[#This Row],[% Op. Etapa]]*Tabla3[[#This Row],[Ratio]]</f>
        <v>0</v>
      </c>
      <c r="H189" s="17">
        <f>IF(Tabla3[[#This Row],[Noticia]]&gt;0,Tabla3[[#This Row],[% Esperado]]/2,Tabla3[[#This Row],[% Esperado]])</f>
        <v>0</v>
      </c>
      <c r="I189">
        <v>0</v>
      </c>
    </row>
    <row r="190" spans="1:9">
      <c r="A190" s="18">
        <v>46505</v>
      </c>
      <c r="B190" t="str">
        <f t="shared" si="2"/>
        <v>MIÉRCOLES</v>
      </c>
      <c r="C190">
        <v>204</v>
      </c>
      <c r="D190">
        <f>_xlfn.XLOOKUP(Tabla3[[#This Row],[Dia Semana]],Riesgo!A:A,Riesgo!B:B)</f>
        <v>1</v>
      </c>
      <c r="F190" s="17">
        <f>_xlfn.XLOOKUP(Tabla3[[#This Row],[Etapa]],Etapas!A:A,Etapas!B:B)</f>
        <v>0</v>
      </c>
      <c r="G190" s="17">
        <f>Tabla3[[#This Row],[% Op. Etapa]]*Tabla3[[#This Row],[Ratio]]</f>
        <v>0</v>
      </c>
      <c r="H190" s="17">
        <f>IF(Tabla3[[#This Row],[Noticia]]&gt;0,Tabla3[[#This Row],[% Esperado]]/2,Tabla3[[#This Row],[% Esperado]])</f>
        <v>0</v>
      </c>
      <c r="I190">
        <v>0</v>
      </c>
    </row>
    <row r="191" spans="1:9">
      <c r="A191" s="18">
        <v>46506</v>
      </c>
      <c r="B191" t="str">
        <f t="shared" si="2"/>
        <v>JUEVES</v>
      </c>
      <c r="C191">
        <v>205</v>
      </c>
      <c r="D191">
        <f>_xlfn.XLOOKUP(Tabla3[[#This Row],[Dia Semana]],Riesgo!A:A,Riesgo!B:B)</f>
        <v>2</v>
      </c>
      <c r="F191" s="17">
        <f>_xlfn.XLOOKUP(Tabla3[[#This Row],[Etapa]],Etapas!A:A,Etapas!B:B)</f>
        <v>0</v>
      </c>
      <c r="G191" s="17">
        <f>Tabla3[[#This Row],[% Op. Etapa]]*Tabla3[[#This Row],[Ratio]]</f>
        <v>0</v>
      </c>
      <c r="H191" s="17">
        <f>IF(Tabla3[[#This Row],[Noticia]]&gt;0,Tabla3[[#This Row],[% Esperado]]/2,Tabla3[[#This Row],[% Esperado]])</f>
        <v>0</v>
      </c>
      <c r="I191">
        <v>0</v>
      </c>
    </row>
    <row r="192" spans="1:9">
      <c r="A192" s="18">
        <v>46507</v>
      </c>
      <c r="B192" t="str">
        <f t="shared" si="2"/>
        <v>VIERNES</v>
      </c>
      <c r="C192">
        <v>206</v>
      </c>
      <c r="D192">
        <f>_xlfn.XLOOKUP(Tabla3[[#This Row],[Dia Semana]],Riesgo!A:A,Riesgo!B:B)</f>
        <v>1</v>
      </c>
      <c r="F192" s="17">
        <f>_xlfn.XLOOKUP(Tabla3[[#This Row],[Etapa]],Etapas!A:A,Etapas!B:B)</f>
        <v>0</v>
      </c>
      <c r="G192" s="17">
        <f>Tabla3[[#This Row],[% Op. Etapa]]*Tabla3[[#This Row],[Ratio]]</f>
        <v>0</v>
      </c>
      <c r="H192" s="17">
        <f>IF(Tabla3[[#This Row],[Noticia]]&gt;0,Tabla3[[#This Row],[% Esperado]]/2,Tabla3[[#This Row],[% Esperado]])</f>
        <v>0</v>
      </c>
      <c r="I192">
        <v>0</v>
      </c>
    </row>
    <row r="193" spans="1:9">
      <c r="A193" s="18">
        <v>46508</v>
      </c>
      <c r="B193" t="str">
        <f t="shared" si="2"/>
        <v>SÁBADO</v>
      </c>
      <c r="C193">
        <v>207</v>
      </c>
      <c r="D193">
        <f>_xlfn.XLOOKUP(Tabla3[[#This Row],[Dia Semana]],Riesgo!A:A,Riesgo!B:B)</f>
        <v>0</v>
      </c>
      <c r="F193" s="17">
        <f>_xlfn.XLOOKUP(Tabla3[[#This Row],[Etapa]],Etapas!A:A,Etapas!B:B)</f>
        <v>0</v>
      </c>
      <c r="G193" s="17">
        <f>Tabla3[[#This Row],[% Op. Etapa]]*Tabla3[[#This Row],[Ratio]]</f>
        <v>0</v>
      </c>
      <c r="H193" s="17">
        <f>IF(Tabla3[[#This Row],[Noticia]]&gt;0,Tabla3[[#This Row],[% Esperado]]/2,Tabla3[[#This Row],[% Esperado]])</f>
        <v>0</v>
      </c>
      <c r="I193">
        <v>0</v>
      </c>
    </row>
    <row r="194" spans="1:9">
      <c r="A194" s="18">
        <v>46509</v>
      </c>
      <c r="B194" t="str">
        <f t="shared" ref="B194:B257" si="3">UPPER(TEXT(A194,"dddd"))</f>
        <v>DOMINGO</v>
      </c>
      <c r="C194">
        <v>208</v>
      </c>
      <c r="D194">
        <f>_xlfn.XLOOKUP(Tabla3[[#This Row],[Dia Semana]],Riesgo!A:A,Riesgo!B:B)</f>
        <v>0</v>
      </c>
      <c r="F194" s="17">
        <f>_xlfn.XLOOKUP(Tabla3[[#This Row],[Etapa]],Etapas!A:A,Etapas!B:B)</f>
        <v>0</v>
      </c>
      <c r="G194" s="17">
        <f>Tabla3[[#This Row],[% Op. Etapa]]*Tabla3[[#This Row],[Ratio]]</f>
        <v>0</v>
      </c>
      <c r="H194" s="17">
        <f>IF(Tabla3[[#This Row],[Noticia]]&gt;0,Tabla3[[#This Row],[% Esperado]]/2,Tabla3[[#This Row],[% Esperado]])</f>
        <v>0</v>
      </c>
      <c r="I194">
        <v>0</v>
      </c>
    </row>
    <row r="195" spans="1:9">
      <c r="A195" s="18">
        <v>46510</v>
      </c>
      <c r="B195" t="str">
        <f t="shared" si="3"/>
        <v>LUNES</v>
      </c>
      <c r="C195">
        <v>209</v>
      </c>
      <c r="D195">
        <f>_xlfn.XLOOKUP(Tabla3[[#This Row],[Dia Semana]],Riesgo!A:A,Riesgo!B:B)</f>
        <v>2</v>
      </c>
      <c r="F195" s="17">
        <f>_xlfn.XLOOKUP(Tabla3[[#This Row],[Etapa]],Etapas!A:A,Etapas!B:B)</f>
        <v>0</v>
      </c>
      <c r="G195" s="17">
        <f>Tabla3[[#This Row],[% Op. Etapa]]*Tabla3[[#This Row],[Ratio]]</f>
        <v>0</v>
      </c>
      <c r="H195" s="17">
        <f>IF(Tabla3[[#This Row],[Noticia]]&gt;0,Tabla3[[#This Row],[% Esperado]]/2,Tabla3[[#This Row],[% Esperado]])</f>
        <v>0</v>
      </c>
      <c r="I195">
        <v>0</v>
      </c>
    </row>
    <row r="196" spans="1:9">
      <c r="A196" s="18">
        <v>46511</v>
      </c>
      <c r="B196" t="str">
        <f t="shared" si="3"/>
        <v>MARTES</v>
      </c>
      <c r="C196">
        <v>210</v>
      </c>
      <c r="D196">
        <f>_xlfn.XLOOKUP(Tabla3[[#This Row],[Dia Semana]],Riesgo!A:A,Riesgo!B:B)</f>
        <v>2</v>
      </c>
      <c r="F196" s="17">
        <f>_xlfn.XLOOKUP(Tabla3[[#This Row],[Etapa]],Etapas!A:A,Etapas!B:B)</f>
        <v>0</v>
      </c>
      <c r="G196" s="17">
        <f>Tabla3[[#This Row],[% Op. Etapa]]*Tabla3[[#This Row],[Ratio]]</f>
        <v>0</v>
      </c>
      <c r="H196" s="17">
        <f>IF(Tabla3[[#This Row],[Noticia]]&gt;0,Tabla3[[#This Row],[% Esperado]]/2,Tabla3[[#This Row],[% Esperado]])</f>
        <v>0</v>
      </c>
      <c r="I196">
        <v>0</v>
      </c>
    </row>
    <row r="197" spans="1:9">
      <c r="A197" s="18">
        <v>46512</v>
      </c>
      <c r="B197" t="str">
        <f t="shared" si="3"/>
        <v>MIÉRCOLES</v>
      </c>
      <c r="C197">
        <v>211</v>
      </c>
      <c r="D197">
        <f>_xlfn.XLOOKUP(Tabla3[[#This Row],[Dia Semana]],Riesgo!A:A,Riesgo!B:B)</f>
        <v>1</v>
      </c>
      <c r="F197" s="17">
        <f>_xlfn.XLOOKUP(Tabla3[[#This Row],[Etapa]],Etapas!A:A,Etapas!B:B)</f>
        <v>0</v>
      </c>
      <c r="G197" s="17">
        <f>Tabla3[[#This Row],[% Op. Etapa]]*Tabla3[[#This Row],[Ratio]]</f>
        <v>0</v>
      </c>
      <c r="H197" s="17">
        <f>IF(Tabla3[[#This Row],[Noticia]]&gt;0,Tabla3[[#This Row],[% Esperado]]/2,Tabla3[[#This Row],[% Esperado]])</f>
        <v>0</v>
      </c>
      <c r="I197">
        <v>0</v>
      </c>
    </row>
    <row r="198" spans="1:9">
      <c r="A198" s="18">
        <v>46513</v>
      </c>
      <c r="B198" t="str">
        <f t="shared" si="3"/>
        <v>JUEVES</v>
      </c>
      <c r="C198">
        <v>212</v>
      </c>
      <c r="D198">
        <f>_xlfn.XLOOKUP(Tabla3[[#This Row],[Dia Semana]],Riesgo!A:A,Riesgo!B:B)</f>
        <v>2</v>
      </c>
      <c r="F198" s="17">
        <f>_xlfn.XLOOKUP(Tabla3[[#This Row],[Etapa]],Etapas!A:A,Etapas!B:B)</f>
        <v>0</v>
      </c>
      <c r="G198" s="17">
        <f>Tabla3[[#This Row],[% Op. Etapa]]*Tabla3[[#This Row],[Ratio]]</f>
        <v>0</v>
      </c>
      <c r="H198" s="17">
        <f>IF(Tabla3[[#This Row],[Noticia]]&gt;0,Tabla3[[#This Row],[% Esperado]]/2,Tabla3[[#This Row],[% Esperado]])</f>
        <v>0</v>
      </c>
      <c r="I198">
        <v>0</v>
      </c>
    </row>
    <row r="199" spans="1:9">
      <c r="A199" s="18">
        <v>46514</v>
      </c>
      <c r="B199" t="str">
        <f t="shared" si="3"/>
        <v>VIERNES</v>
      </c>
      <c r="C199">
        <v>213</v>
      </c>
      <c r="D199">
        <f>_xlfn.XLOOKUP(Tabla3[[#This Row],[Dia Semana]],Riesgo!A:A,Riesgo!B:B)</f>
        <v>1</v>
      </c>
      <c r="F199" s="17">
        <f>_xlfn.XLOOKUP(Tabla3[[#This Row],[Etapa]],Etapas!A:A,Etapas!B:B)</f>
        <v>0</v>
      </c>
      <c r="G199" s="17">
        <f>Tabla3[[#This Row],[% Op. Etapa]]*Tabla3[[#This Row],[Ratio]]</f>
        <v>0</v>
      </c>
      <c r="H199" s="17">
        <f>IF(Tabla3[[#This Row],[Noticia]]&gt;0,Tabla3[[#This Row],[% Esperado]]/2,Tabla3[[#This Row],[% Esperado]])</f>
        <v>0</v>
      </c>
      <c r="I199">
        <v>0</v>
      </c>
    </row>
    <row r="200" spans="1:9">
      <c r="A200" s="18">
        <v>46515</v>
      </c>
      <c r="B200" t="str">
        <f t="shared" si="3"/>
        <v>SÁBADO</v>
      </c>
      <c r="C200">
        <v>214</v>
      </c>
      <c r="D200">
        <f>_xlfn.XLOOKUP(Tabla3[[#This Row],[Dia Semana]],Riesgo!A:A,Riesgo!B:B)</f>
        <v>0</v>
      </c>
      <c r="F200" s="17">
        <f>_xlfn.XLOOKUP(Tabla3[[#This Row],[Etapa]],Etapas!A:A,Etapas!B:B)</f>
        <v>0</v>
      </c>
      <c r="G200" s="17">
        <f>Tabla3[[#This Row],[% Op. Etapa]]*Tabla3[[#This Row],[Ratio]]</f>
        <v>0</v>
      </c>
      <c r="H200" s="17">
        <f>IF(Tabla3[[#This Row],[Noticia]]&gt;0,Tabla3[[#This Row],[% Esperado]]/2,Tabla3[[#This Row],[% Esperado]])</f>
        <v>0</v>
      </c>
      <c r="I200">
        <v>0</v>
      </c>
    </row>
    <row r="201" spans="1:9">
      <c r="A201" s="18">
        <v>46516</v>
      </c>
      <c r="B201" t="str">
        <f t="shared" si="3"/>
        <v>DOMINGO</v>
      </c>
      <c r="C201">
        <v>215</v>
      </c>
      <c r="D201">
        <f>_xlfn.XLOOKUP(Tabla3[[#This Row],[Dia Semana]],Riesgo!A:A,Riesgo!B:B)</f>
        <v>0</v>
      </c>
      <c r="F201" s="17">
        <f>_xlfn.XLOOKUP(Tabla3[[#This Row],[Etapa]],Etapas!A:A,Etapas!B:B)</f>
        <v>0</v>
      </c>
      <c r="G201" s="17">
        <f>Tabla3[[#This Row],[% Op. Etapa]]*Tabla3[[#This Row],[Ratio]]</f>
        <v>0</v>
      </c>
      <c r="H201" s="17">
        <f>IF(Tabla3[[#This Row],[Noticia]]&gt;0,Tabla3[[#This Row],[% Esperado]]/2,Tabla3[[#This Row],[% Esperado]])</f>
        <v>0</v>
      </c>
      <c r="I201">
        <v>0</v>
      </c>
    </row>
    <row r="202" spans="1:9">
      <c r="A202" s="18">
        <v>46517</v>
      </c>
      <c r="B202" t="str">
        <f t="shared" si="3"/>
        <v>LUNES</v>
      </c>
      <c r="C202">
        <v>216</v>
      </c>
      <c r="D202">
        <f>_xlfn.XLOOKUP(Tabla3[[#This Row],[Dia Semana]],Riesgo!A:A,Riesgo!B:B)</f>
        <v>2</v>
      </c>
      <c r="F202" s="17">
        <f>_xlfn.XLOOKUP(Tabla3[[#This Row],[Etapa]],Etapas!A:A,Etapas!B:B)</f>
        <v>0</v>
      </c>
      <c r="G202" s="17">
        <f>Tabla3[[#This Row],[% Op. Etapa]]*Tabla3[[#This Row],[Ratio]]</f>
        <v>0</v>
      </c>
      <c r="H202" s="17">
        <f>IF(Tabla3[[#This Row],[Noticia]]&gt;0,Tabla3[[#This Row],[% Esperado]]/2,Tabla3[[#This Row],[% Esperado]])</f>
        <v>0</v>
      </c>
      <c r="I202">
        <v>0</v>
      </c>
    </row>
    <row r="203" spans="1:9">
      <c r="A203" s="18">
        <v>46518</v>
      </c>
      <c r="B203" t="str">
        <f t="shared" si="3"/>
        <v>MARTES</v>
      </c>
      <c r="C203">
        <v>217</v>
      </c>
      <c r="D203">
        <f>_xlfn.XLOOKUP(Tabla3[[#This Row],[Dia Semana]],Riesgo!A:A,Riesgo!B:B)</f>
        <v>2</v>
      </c>
      <c r="F203" s="17">
        <f>_xlfn.XLOOKUP(Tabla3[[#This Row],[Etapa]],Etapas!A:A,Etapas!B:B)</f>
        <v>0</v>
      </c>
      <c r="G203" s="17">
        <f>Tabla3[[#This Row],[% Op. Etapa]]*Tabla3[[#This Row],[Ratio]]</f>
        <v>0</v>
      </c>
      <c r="H203" s="17">
        <f>IF(Tabla3[[#This Row],[Noticia]]&gt;0,Tabla3[[#This Row],[% Esperado]]/2,Tabla3[[#This Row],[% Esperado]])</f>
        <v>0</v>
      </c>
      <c r="I203">
        <v>0</v>
      </c>
    </row>
    <row r="204" spans="1:9">
      <c r="A204" s="18">
        <v>46519</v>
      </c>
      <c r="B204" t="str">
        <f t="shared" si="3"/>
        <v>MIÉRCOLES</v>
      </c>
      <c r="C204">
        <v>218</v>
      </c>
      <c r="D204">
        <f>_xlfn.XLOOKUP(Tabla3[[#This Row],[Dia Semana]],Riesgo!A:A,Riesgo!B:B)</f>
        <v>1</v>
      </c>
      <c r="F204" s="17">
        <f>_xlfn.XLOOKUP(Tabla3[[#This Row],[Etapa]],Etapas!A:A,Etapas!B:B)</f>
        <v>0</v>
      </c>
      <c r="G204" s="17">
        <f>Tabla3[[#This Row],[% Op. Etapa]]*Tabla3[[#This Row],[Ratio]]</f>
        <v>0</v>
      </c>
      <c r="H204" s="17">
        <f>IF(Tabla3[[#This Row],[Noticia]]&gt;0,Tabla3[[#This Row],[% Esperado]]/2,Tabla3[[#This Row],[% Esperado]])</f>
        <v>0</v>
      </c>
      <c r="I204">
        <v>0</v>
      </c>
    </row>
    <row r="205" spans="1:9">
      <c r="A205" s="18">
        <v>46520</v>
      </c>
      <c r="B205" t="str">
        <f t="shared" si="3"/>
        <v>JUEVES</v>
      </c>
      <c r="C205">
        <v>219</v>
      </c>
      <c r="D205">
        <f>_xlfn.XLOOKUP(Tabla3[[#This Row],[Dia Semana]],Riesgo!A:A,Riesgo!B:B)</f>
        <v>2</v>
      </c>
      <c r="F205" s="17">
        <f>_xlfn.XLOOKUP(Tabla3[[#This Row],[Etapa]],Etapas!A:A,Etapas!B:B)</f>
        <v>0</v>
      </c>
      <c r="G205" s="17">
        <f>Tabla3[[#This Row],[% Op. Etapa]]*Tabla3[[#This Row],[Ratio]]</f>
        <v>0</v>
      </c>
      <c r="H205" s="17">
        <f>IF(Tabla3[[#This Row],[Noticia]]&gt;0,Tabla3[[#This Row],[% Esperado]]/2,Tabla3[[#This Row],[% Esperado]])</f>
        <v>0</v>
      </c>
      <c r="I205">
        <v>0</v>
      </c>
    </row>
    <row r="206" spans="1:9">
      <c r="A206" s="18">
        <v>46521</v>
      </c>
      <c r="B206" t="str">
        <f t="shared" si="3"/>
        <v>VIERNES</v>
      </c>
      <c r="C206">
        <v>220</v>
      </c>
      <c r="D206">
        <f>_xlfn.XLOOKUP(Tabla3[[#This Row],[Dia Semana]],Riesgo!A:A,Riesgo!B:B)</f>
        <v>1</v>
      </c>
      <c r="F206" s="17">
        <f>_xlfn.XLOOKUP(Tabla3[[#This Row],[Etapa]],Etapas!A:A,Etapas!B:B)</f>
        <v>0</v>
      </c>
      <c r="G206" s="17">
        <f>Tabla3[[#This Row],[% Op. Etapa]]*Tabla3[[#This Row],[Ratio]]</f>
        <v>0</v>
      </c>
      <c r="H206" s="17">
        <f>IF(Tabla3[[#This Row],[Noticia]]&gt;0,Tabla3[[#This Row],[% Esperado]]/2,Tabla3[[#This Row],[% Esperado]])</f>
        <v>0</v>
      </c>
      <c r="I206">
        <v>0</v>
      </c>
    </row>
    <row r="207" spans="1:9">
      <c r="A207" s="18">
        <v>46522</v>
      </c>
      <c r="B207" t="str">
        <f t="shared" si="3"/>
        <v>SÁBADO</v>
      </c>
      <c r="C207">
        <v>221</v>
      </c>
      <c r="D207">
        <f>_xlfn.XLOOKUP(Tabla3[[#This Row],[Dia Semana]],Riesgo!A:A,Riesgo!B:B)</f>
        <v>0</v>
      </c>
      <c r="F207" s="17">
        <f>_xlfn.XLOOKUP(Tabla3[[#This Row],[Etapa]],Etapas!A:A,Etapas!B:B)</f>
        <v>0</v>
      </c>
      <c r="G207" s="17">
        <f>Tabla3[[#This Row],[% Op. Etapa]]*Tabla3[[#This Row],[Ratio]]</f>
        <v>0</v>
      </c>
      <c r="H207" s="17">
        <f>IF(Tabla3[[#This Row],[Noticia]]&gt;0,Tabla3[[#This Row],[% Esperado]]/2,Tabla3[[#This Row],[% Esperado]])</f>
        <v>0</v>
      </c>
      <c r="I207">
        <v>0</v>
      </c>
    </row>
    <row r="208" spans="1:9">
      <c r="A208" s="18">
        <v>46523</v>
      </c>
      <c r="B208" t="str">
        <f t="shared" si="3"/>
        <v>DOMINGO</v>
      </c>
      <c r="C208">
        <v>222</v>
      </c>
      <c r="D208">
        <f>_xlfn.XLOOKUP(Tabla3[[#This Row],[Dia Semana]],Riesgo!A:A,Riesgo!B:B)</f>
        <v>0</v>
      </c>
      <c r="F208" s="17">
        <f>_xlfn.XLOOKUP(Tabla3[[#This Row],[Etapa]],Etapas!A:A,Etapas!B:B)</f>
        <v>0</v>
      </c>
      <c r="G208" s="17">
        <f>Tabla3[[#This Row],[% Op. Etapa]]*Tabla3[[#This Row],[Ratio]]</f>
        <v>0</v>
      </c>
      <c r="H208" s="17">
        <f>IF(Tabla3[[#This Row],[Noticia]]&gt;0,Tabla3[[#This Row],[% Esperado]]/2,Tabla3[[#This Row],[% Esperado]])</f>
        <v>0</v>
      </c>
      <c r="I208">
        <v>0</v>
      </c>
    </row>
    <row r="209" spans="1:9">
      <c r="A209" s="18">
        <v>46524</v>
      </c>
      <c r="B209" t="str">
        <f t="shared" si="3"/>
        <v>LUNES</v>
      </c>
      <c r="C209">
        <v>223</v>
      </c>
      <c r="D209">
        <f>_xlfn.XLOOKUP(Tabla3[[#This Row],[Dia Semana]],Riesgo!A:A,Riesgo!B:B)</f>
        <v>2</v>
      </c>
      <c r="F209" s="17">
        <f>_xlfn.XLOOKUP(Tabla3[[#This Row],[Etapa]],Etapas!A:A,Etapas!B:B)</f>
        <v>0</v>
      </c>
      <c r="G209" s="17">
        <f>Tabla3[[#This Row],[% Op. Etapa]]*Tabla3[[#This Row],[Ratio]]</f>
        <v>0</v>
      </c>
      <c r="H209" s="17">
        <f>IF(Tabla3[[#This Row],[Noticia]]&gt;0,Tabla3[[#This Row],[% Esperado]]/2,Tabla3[[#This Row],[% Esperado]])</f>
        <v>0</v>
      </c>
      <c r="I209">
        <v>0</v>
      </c>
    </row>
    <row r="210" spans="1:9">
      <c r="A210" s="18">
        <v>46525</v>
      </c>
      <c r="B210" t="str">
        <f t="shared" si="3"/>
        <v>MARTES</v>
      </c>
      <c r="C210">
        <v>224</v>
      </c>
      <c r="D210">
        <f>_xlfn.XLOOKUP(Tabla3[[#This Row],[Dia Semana]],Riesgo!A:A,Riesgo!B:B)</f>
        <v>2</v>
      </c>
      <c r="F210" s="17">
        <f>_xlfn.XLOOKUP(Tabla3[[#This Row],[Etapa]],Etapas!A:A,Etapas!B:B)</f>
        <v>0</v>
      </c>
      <c r="G210" s="17">
        <f>Tabla3[[#This Row],[% Op. Etapa]]*Tabla3[[#This Row],[Ratio]]</f>
        <v>0</v>
      </c>
      <c r="H210" s="17">
        <f>IF(Tabla3[[#This Row],[Noticia]]&gt;0,Tabla3[[#This Row],[% Esperado]]/2,Tabla3[[#This Row],[% Esperado]])</f>
        <v>0</v>
      </c>
      <c r="I210">
        <v>0</v>
      </c>
    </row>
    <row r="211" spans="1:9">
      <c r="A211" s="18">
        <v>46526</v>
      </c>
      <c r="B211" t="str">
        <f t="shared" si="3"/>
        <v>MIÉRCOLES</v>
      </c>
      <c r="C211">
        <v>225</v>
      </c>
      <c r="D211">
        <f>_xlfn.XLOOKUP(Tabla3[[#This Row],[Dia Semana]],Riesgo!A:A,Riesgo!B:B)</f>
        <v>1</v>
      </c>
      <c r="F211" s="17">
        <f>_xlfn.XLOOKUP(Tabla3[[#This Row],[Etapa]],Etapas!A:A,Etapas!B:B)</f>
        <v>0</v>
      </c>
      <c r="G211" s="17">
        <f>Tabla3[[#This Row],[% Op. Etapa]]*Tabla3[[#This Row],[Ratio]]</f>
        <v>0</v>
      </c>
      <c r="H211" s="17">
        <f>IF(Tabla3[[#This Row],[Noticia]]&gt;0,Tabla3[[#This Row],[% Esperado]]/2,Tabla3[[#This Row],[% Esperado]])</f>
        <v>0</v>
      </c>
      <c r="I211">
        <v>0</v>
      </c>
    </row>
    <row r="212" spans="1:9">
      <c r="A212" s="18">
        <v>46527</v>
      </c>
      <c r="B212" t="str">
        <f t="shared" si="3"/>
        <v>JUEVES</v>
      </c>
      <c r="C212">
        <v>226</v>
      </c>
      <c r="D212">
        <f>_xlfn.XLOOKUP(Tabla3[[#This Row],[Dia Semana]],Riesgo!A:A,Riesgo!B:B)</f>
        <v>2</v>
      </c>
      <c r="F212" s="17">
        <f>_xlfn.XLOOKUP(Tabla3[[#This Row],[Etapa]],Etapas!A:A,Etapas!B:B)</f>
        <v>0</v>
      </c>
      <c r="G212" s="17">
        <f>Tabla3[[#This Row],[% Op. Etapa]]*Tabla3[[#This Row],[Ratio]]</f>
        <v>0</v>
      </c>
      <c r="H212" s="17">
        <f>IF(Tabla3[[#This Row],[Noticia]]&gt;0,Tabla3[[#This Row],[% Esperado]]/2,Tabla3[[#This Row],[% Esperado]])</f>
        <v>0</v>
      </c>
      <c r="I212">
        <v>0</v>
      </c>
    </row>
    <row r="213" spans="1:9">
      <c r="A213" s="18">
        <v>46528</v>
      </c>
      <c r="B213" t="str">
        <f t="shared" si="3"/>
        <v>VIERNES</v>
      </c>
      <c r="C213">
        <v>227</v>
      </c>
      <c r="D213">
        <f>_xlfn.XLOOKUP(Tabla3[[#This Row],[Dia Semana]],Riesgo!A:A,Riesgo!B:B)</f>
        <v>1</v>
      </c>
      <c r="F213" s="17">
        <f>_xlfn.XLOOKUP(Tabla3[[#This Row],[Etapa]],Etapas!A:A,Etapas!B:B)</f>
        <v>0</v>
      </c>
      <c r="G213" s="17">
        <f>Tabla3[[#This Row],[% Op. Etapa]]*Tabla3[[#This Row],[Ratio]]</f>
        <v>0</v>
      </c>
      <c r="H213" s="17">
        <f>IF(Tabla3[[#This Row],[Noticia]]&gt;0,Tabla3[[#This Row],[% Esperado]]/2,Tabla3[[#This Row],[% Esperado]])</f>
        <v>0</v>
      </c>
      <c r="I213">
        <v>0</v>
      </c>
    </row>
    <row r="214" spans="1:9">
      <c r="A214" s="18">
        <v>46529</v>
      </c>
      <c r="B214" t="str">
        <f t="shared" si="3"/>
        <v>SÁBADO</v>
      </c>
      <c r="C214">
        <v>228</v>
      </c>
      <c r="D214">
        <f>_xlfn.XLOOKUP(Tabla3[[#This Row],[Dia Semana]],Riesgo!A:A,Riesgo!B:B)</f>
        <v>0</v>
      </c>
      <c r="F214" s="17">
        <f>_xlfn.XLOOKUP(Tabla3[[#This Row],[Etapa]],Etapas!A:A,Etapas!B:B)</f>
        <v>0</v>
      </c>
      <c r="G214" s="17">
        <f>Tabla3[[#This Row],[% Op. Etapa]]*Tabla3[[#This Row],[Ratio]]</f>
        <v>0</v>
      </c>
      <c r="H214" s="17">
        <f>IF(Tabla3[[#This Row],[Noticia]]&gt;0,Tabla3[[#This Row],[% Esperado]]/2,Tabla3[[#This Row],[% Esperado]])</f>
        <v>0</v>
      </c>
      <c r="I214">
        <v>0</v>
      </c>
    </row>
    <row r="215" spans="1:9">
      <c r="A215" s="18">
        <v>46530</v>
      </c>
      <c r="B215" t="str">
        <f t="shared" si="3"/>
        <v>DOMINGO</v>
      </c>
      <c r="C215">
        <v>229</v>
      </c>
      <c r="D215">
        <f>_xlfn.XLOOKUP(Tabla3[[#This Row],[Dia Semana]],Riesgo!A:A,Riesgo!B:B)</f>
        <v>0</v>
      </c>
      <c r="F215" s="17">
        <f>_xlfn.XLOOKUP(Tabla3[[#This Row],[Etapa]],Etapas!A:A,Etapas!B:B)</f>
        <v>0</v>
      </c>
      <c r="G215" s="17">
        <f>Tabla3[[#This Row],[% Op. Etapa]]*Tabla3[[#This Row],[Ratio]]</f>
        <v>0</v>
      </c>
      <c r="H215" s="17">
        <f>IF(Tabla3[[#This Row],[Noticia]]&gt;0,Tabla3[[#This Row],[% Esperado]]/2,Tabla3[[#This Row],[% Esperado]])</f>
        <v>0</v>
      </c>
      <c r="I215">
        <v>0</v>
      </c>
    </row>
    <row r="216" spans="1:9">
      <c r="A216" s="18">
        <v>46531</v>
      </c>
      <c r="B216" t="str">
        <f t="shared" si="3"/>
        <v>LUNES</v>
      </c>
      <c r="C216">
        <v>230</v>
      </c>
      <c r="D216">
        <f>_xlfn.XLOOKUP(Tabla3[[#This Row],[Dia Semana]],Riesgo!A:A,Riesgo!B:B)</f>
        <v>2</v>
      </c>
      <c r="F216" s="17">
        <f>_xlfn.XLOOKUP(Tabla3[[#This Row],[Etapa]],Etapas!A:A,Etapas!B:B)</f>
        <v>0</v>
      </c>
      <c r="G216" s="17">
        <f>Tabla3[[#This Row],[% Op. Etapa]]*Tabla3[[#This Row],[Ratio]]</f>
        <v>0</v>
      </c>
      <c r="H216" s="17">
        <f>IF(Tabla3[[#This Row],[Noticia]]&gt;0,Tabla3[[#This Row],[% Esperado]]/2,Tabla3[[#This Row],[% Esperado]])</f>
        <v>0</v>
      </c>
      <c r="I216">
        <v>0</v>
      </c>
    </row>
    <row r="217" spans="1:9">
      <c r="A217" s="18">
        <v>46532</v>
      </c>
      <c r="B217" t="str">
        <f t="shared" si="3"/>
        <v>MARTES</v>
      </c>
      <c r="C217">
        <v>231</v>
      </c>
      <c r="D217">
        <f>_xlfn.XLOOKUP(Tabla3[[#This Row],[Dia Semana]],Riesgo!A:A,Riesgo!B:B)</f>
        <v>2</v>
      </c>
      <c r="F217" s="17">
        <f>_xlfn.XLOOKUP(Tabla3[[#This Row],[Etapa]],Etapas!A:A,Etapas!B:B)</f>
        <v>0</v>
      </c>
      <c r="G217" s="17">
        <f>Tabla3[[#This Row],[% Op. Etapa]]*Tabla3[[#This Row],[Ratio]]</f>
        <v>0</v>
      </c>
      <c r="H217" s="17">
        <f>IF(Tabla3[[#This Row],[Noticia]]&gt;0,Tabla3[[#This Row],[% Esperado]]/2,Tabla3[[#This Row],[% Esperado]])</f>
        <v>0</v>
      </c>
      <c r="I217">
        <v>0</v>
      </c>
    </row>
    <row r="218" spans="1:9">
      <c r="A218" s="18">
        <v>46533</v>
      </c>
      <c r="B218" t="str">
        <f t="shared" si="3"/>
        <v>MIÉRCOLES</v>
      </c>
      <c r="C218">
        <v>232</v>
      </c>
      <c r="D218">
        <f>_xlfn.XLOOKUP(Tabla3[[#This Row],[Dia Semana]],Riesgo!A:A,Riesgo!B:B)</f>
        <v>1</v>
      </c>
      <c r="F218" s="17">
        <f>_xlfn.XLOOKUP(Tabla3[[#This Row],[Etapa]],Etapas!A:A,Etapas!B:B)</f>
        <v>0</v>
      </c>
      <c r="G218" s="17">
        <f>Tabla3[[#This Row],[% Op. Etapa]]*Tabla3[[#This Row],[Ratio]]</f>
        <v>0</v>
      </c>
      <c r="H218" s="17">
        <f>IF(Tabla3[[#This Row],[Noticia]]&gt;0,Tabla3[[#This Row],[% Esperado]]/2,Tabla3[[#This Row],[% Esperado]])</f>
        <v>0</v>
      </c>
      <c r="I218">
        <v>0</v>
      </c>
    </row>
    <row r="219" spans="1:9">
      <c r="A219" s="18">
        <v>46534</v>
      </c>
      <c r="B219" t="str">
        <f t="shared" si="3"/>
        <v>JUEVES</v>
      </c>
      <c r="C219">
        <v>233</v>
      </c>
      <c r="D219">
        <f>_xlfn.XLOOKUP(Tabla3[[#This Row],[Dia Semana]],Riesgo!A:A,Riesgo!B:B)</f>
        <v>2</v>
      </c>
      <c r="F219" s="17">
        <f>_xlfn.XLOOKUP(Tabla3[[#This Row],[Etapa]],Etapas!A:A,Etapas!B:B)</f>
        <v>0</v>
      </c>
      <c r="G219" s="17">
        <f>Tabla3[[#This Row],[% Op. Etapa]]*Tabla3[[#This Row],[Ratio]]</f>
        <v>0</v>
      </c>
      <c r="H219" s="17">
        <f>IF(Tabla3[[#This Row],[Noticia]]&gt;0,Tabla3[[#This Row],[% Esperado]]/2,Tabla3[[#This Row],[% Esperado]])</f>
        <v>0</v>
      </c>
      <c r="I219">
        <v>0</v>
      </c>
    </row>
    <row r="220" spans="1:9">
      <c r="A220" s="18">
        <v>46535</v>
      </c>
      <c r="B220" t="str">
        <f t="shared" si="3"/>
        <v>VIERNES</v>
      </c>
      <c r="C220">
        <v>234</v>
      </c>
      <c r="D220">
        <f>_xlfn.XLOOKUP(Tabla3[[#This Row],[Dia Semana]],Riesgo!A:A,Riesgo!B:B)</f>
        <v>1</v>
      </c>
      <c r="F220" s="17">
        <f>_xlfn.XLOOKUP(Tabla3[[#This Row],[Etapa]],Etapas!A:A,Etapas!B:B)</f>
        <v>0</v>
      </c>
      <c r="G220" s="17">
        <f>Tabla3[[#This Row],[% Op. Etapa]]*Tabla3[[#This Row],[Ratio]]</f>
        <v>0</v>
      </c>
      <c r="H220" s="17">
        <f>IF(Tabla3[[#This Row],[Noticia]]&gt;0,Tabla3[[#This Row],[% Esperado]]/2,Tabla3[[#This Row],[% Esperado]])</f>
        <v>0</v>
      </c>
      <c r="I220">
        <v>0</v>
      </c>
    </row>
    <row r="221" spans="1:9">
      <c r="A221" s="18">
        <v>46536</v>
      </c>
      <c r="B221" t="str">
        <f t="shared" si="3"/>
        <v>SÁBADO</v>
      </c>
      <c r="C221">
        <v>235</v>
      </c>
      <c r="D221">
        <f>_xlfn.XLOOKUP(Tabla3[[#This Row],[Dia Semana]],Riesgo!A:A,Riesgo!B:B)</f>
        <v>0</v>
      </c>
      <c r="F221" s="17">
        <f>_xlfn.XLOOKUP(Tabla3[[#This Row],[Etapa]],Etapas!A:A,Etapas!B:B)</f>
        <v>0</v>
      </c>
      <c r="G221" s="17">
        <f>Tabla3[[#This Row],[% Op. Etapa]]*Tabla3[[#This Row],[Ratio]]</f>
        <v>0</v>
      </c>
      <c r="H221" s="17">
        <f>IF(Tabla3[[#This Row],[Noticia]]&gt;0,Tabla3[[#This Row],[% Esperado]]/2,Tabla3[[#This Row],[% Esperado]])</f>
        <v>0</v>
      </c>
      <c r="I221">
        <v>0</v>
      </c>
    </row>
    <row r="222" spans="1:9">
      <c r="A222" s="18">
        <v>46537</v>
      </c>
      <c r="B222" t="str">
        <f t="shared" si="3"/>
        <v>DOMINGO</v>
      </c>
      <c r="C222">
        <v>236</v>
      </c>
      <c r="D222">
        <f>_xlfn.XLOOKUP(Tabla3[[#This Row],[Dia Semana]],Riesgo!A:A,Riesgo!B:B)</f>
        <v>0</v>
      </c>
      <c r="F222" s="17">
        <f>_xlfn.XLOOKUP(Tabla3[[#This Row],[Etapa]],Etapas!A:A,Etapas!B:B)</f>
        <v>0</v>
      </c>
      <c r="G222" s="17">
        <f>Tabla3[[#This Row],[% Op. Etapa]]*Tabla3[[#This Row],[Ratio]]</f>
        <v>0</v>
      </c>
      <c r="H222" s="17">
        <f>IF(Tabla3[[#This Row],[Noticia]]&gt;0,Tabla3[[#This Row],[% Esperado]]/2,Tabla3[[#This Row],[% Esperado]])</f>
        <v>0</v>
      </c>
      <c r="I222">
        <v>0</v>
      </c>
    </row>
    <row r="223" spans="1:9">
      <c r="A223" s="18">
        <v>46538</v>
      </c>
      <c r="B223" t="str">
        <f t="shared" si="3"/>
        <v>LUNES</v>
      </c>
      <c r="C223">
        <v>237</v>
      </c>
      <c r="D223">
        <f>_xlfn.XLOOKUP(Tabla3[[#This Row],[Dia Semana]],Riesgo!A:A,Riesgo!B:B)</f>
        <v>2</v>
      </c>
      <c r="F223" s="17">
        <f>_xlfn.XLOOKUP(Tabla3[[#This Row],[Etapa]],Etapas!A:A,Etapas!B:B)</f>
        <v>0</v>
      </c>
      <c r="G223" s="17">
        <f>Tabla3[[#This Row],[% Op. Etapa]]*Tabla3[[#This Row],[Ratio]]</f>
        <v>0</v>
      </c>
      <c r="H223" s="17">
        <f>IF(Tabla3[[#This Row],[Noticia]]&gt;0,Tabla3[[#This Row],[% Esperado]]/2,Tabla3[[#This Row],[% Esperado]])</f>
        <v>0</v>
      </c>
      <c r="I223">
        <v>0</v>
      </c>
    </row>
    <row r="224" spans="1:9">
      <c r="A224" s="18">
        <v>46539</v>
      </c>
      <c r="B224" t="str">
        <f t="shared" si="3"/>
        <v>MARTES</v>
      </c>
      <c r="C224">
        <v>238</v>
      </c>
      <c r="D224">
        <f>_xlfn.XLOOKUP(Tabla3[[#This Row],[Dia Semana]],Riesgo!A:A,Riesgo!B:B)</f>
        <v>2</v>
      </c>
      <c r="F224" s="17">
        <f>_xlfn.XLOOKUP(Tabla3[[#This Row],[Etapa]],Etapas!A:A,Etapas!B:B)</f>
        <v>0</v>
      </c>
      <c r="G224" s="17">
        <f>Tabla3[[#This Row],[% Op. Etapa]]*Tabla3[[#This Row],[Ratio]]</f>
        <v>0</v>
      </c>
      <c r="H224" s="17">
        <f>IF(Tabla3[[#This Row],[Noticia]]&gt;0,Tabla3[[#This Row],[% Esperado]]/2,Tabla3[[#This Row],[% Esperado]])</f>
        <v>0</v>
      </c>
      <c r="I224">
        <v>0</v>
      </c>
    </row>
    <row r="225" spans="1:9">
      <c r="A225" s="18">
        <v>46540</v>
      </c>
      <c r="B225" t="str">
        <f t="shared" si="3"/>
        <v>MIÉRCOLES</v>
      </c>
      <c r="C225">
        <v>239</v>
      </c>
      <c r="D225">
        <f>_xlfn.XLOOKUP(Tabla3[[#This Row],[Dia Semana]],Riesgo!A:A,Riesgo!B:B)</f>
        <v>1</v>
      </c>
      <c r="F225" s="17">
        <f>_xlfn.XLOOKUP(Tabla3[[#This Row],[Etapa]],Etapas!A:A,Etapas!B:B)</f>
        <v>0</v>
      </c>
      <c r="G225" s="17">
        <f>Tabla3[[#This Row],[% Op. Etapa]]*Tabla3[[#This Row],[Ratio]]</f>
        <v>0</v>
      </c>
      <c r="H225" s="17">
        <f>IF(Tabla3[[#This Row],[Noticia]]&gt;0,Tabla3[[#This Row],[% Esperado]]/2,Tabla3[[#This Row],[% Esperado]])</f>
        <v>0</v>
      </c>
      <c r="I225">
        <v>0</v>
      </c>
    </row>
    <row r="226" spans="1:9">
      <c r="A226" s="18">
        <v>46541</v>
      </c>
      <c r="B226" t="str">
        <f t="shared" si="3"/>
        <v>JUEVES</v>
      </c>
      <c r="C226">
        <v>240</v>
      </c>
      <c r="D226">
        <f>_xlfn.XLOOKUP(Tabla3[[#This Row],[Dia Semana]],Riesgo!A:A,Riesgo!B:B)</f>
        <v>2</v>
      </c>
      <c r="F226" s="17">
        <f>_xlfn.XLOOKUP(Tabla3[[#This Row],[Etapa]],Etapas!A:A,Etapas!B:B)</f>
        <v>0</v>
      </c>
      <c r="G226" s="17">
        <f>Tabla3[[#This Row],[% Op. Etapa]]*Tabla3[[#This Row],[Ratio]]</f>
        <v>0</v>
      </c>
      <c r="H226" s="17">
        <f>IF(Tabla3[[#This Row],[Noticia]]&gt;0,Tabla3[[#This Row],[% Esperado]]/2,Tabla3[[#This Row],[% Esperado]])</f>
        <v>0</v>
      </c>
      <c r="I226">
        <v>0</v>
      </c>
    </row>
    <row r="227" spans="1:9">
      <c r="A227" s="18">
        <v>46542</v>
      </c>
      <c r="B227" t="str">
        <f t="shared" si="3"/>
        <v>VIERNES</v>
      </c>
      <c r="C227">
        <v>241</v>
      </c>
      <c r="D227">
        <f>_xlfn.XLOOKUP(Tabla3[[#This Row],[Dia Semana]],Riesgo!A:A,Riesgo!B:B)</f>
        <v>1</v>
      </c>
      <c r="F227" s="17">
        <f>_xlfn.XLOOKUP(Tabla3[[#This Row],[Etapa]],Etapas!A:A,Etapas!B:B)</f>
        <v>0</v>
      </c>
      <c r="G227" s="17">
        <f>Tabla3[[#This Row],[% Op. Etapa]]*Tabla3[[#This Row],[Ratio]]</f>
        <v>0</v>
      </c>
      <c r="H227" s="17">
        <f>IF(Tabla3[[#This Row],[Noticia]]&gt;0,Tabla3[[#This Row],[% Esperado]]/2,Tabla3[[#This Row],[% Esperado]])</f>
        <v>0</v>
      </c>
      <c r="I227">
        <v>0</v>
      </c>
    </row>
    <row r="228" spans="1:9">
      <c r="A228" s="18">
        <v>46543</v>
      </c>
      <c r="B228" t="str">
        <f t="shared" si="3"/>
        <v>SÁBADO</v>
      </c>
      <c r="C228">
        <v>242</v>
      </c>
      <c r="D228">
        <f>_xlfn.XLOOKUP(Tabla3[[#This Row],[Dia Semana]],Riesgo!A:A,Riesgo!B:B)</f>
        <v>0</v>
      </c>
      <c r="F228" s="17">
        <f>_xlfn.XLOOKUP(Tabla3[[#This Row],[Etapa]],Etapas!A:A,Etapas!B:B)</f>
        <v>0</v>
      </c>
      <c r="G228" s="17">
        <f>Tabla3[[#This Row],[% Op. Etapa]]*Tabla3[[#This Row],[Ratio]]</f>
        <v>0</v>
      </c>
      <c r="H228" s="17">
        <f>IF(Tabla3[[#This Row],[Noticia]]&gt;0,Tabla3[[#This Row],[% Esperado]]/2,Tabla3[[#This Row],[% Esperado]])</f>
        <v>0</v>
      </c>
      <c r="I228">
        <v>0</v>
      </c>
    </row>
    <row r="229" spans="1:9">
      <c r="A229" s="18">
        <v>46544</v>
      </c>
      <c r="B229" t="str">
        <f t="shared" si="3"/>
        <v>DOMINGO</v>
      </c>
      <c r="C229">
        <v>243</v>
      </c>
      <c r="D229">
        <f>_xlfn.XLOOKUP(Tabla3[[#This Row],[Dia Semana]],Riesgo!A:A,Riesgo!B:B)</f>
        <v>0</v>
      </c>
      <c r="F229" s="17">
        <f>_xlfn.XLOOKUP(Tabla3[[#This Row],[Etapa]],Etapas!A:A,Etapas!B:B)</f>
        <v>0</v>
      </c>
      <c r="G229" s="17">
        <f>Tabla3[[#This Row],[% Op. Etapa]]*Tabla3[[#This Row],[Ratio]]</f>
        <v>0</v>
      </c>
      <c r="H229" s="17">
        <f>IF(Tabla3[[#This Row],[Noticia]]&gt;0,Tabla3[[#This Row],[% Esperado]]/2,Tabla3[[#This Row],[% Esperado]])</f>
        <v>0</v>
      </c>
      <c r="I229">
        <v>0</v>
      </c>
    </row>
    <row r="230" spans="1:9">
      <c r="A230" s="18">
        <v>46545</v>
      </c>
      <c r="B230" t="str">
        <f t="shared" si="3"/>
        <v>LUNES</v>
      </c>
      <c r="C230">
        <v>244</v>
      </c>
      <c r="D230">
        <f>_xlfn.XLOOKUP(Tabla3[[#This Row],[Dia Semana]],Riesgo!A:A,Riesgo!B:B)</f>
        <v>2</v>
      </c>
      <c r="F230" s="17">
        <f>_xlfn.XLOOKUP(Tabla3[[#This Row],[Etapa]],Etapas!A:A,Etapas!B:B)</f>
        <v>0</v>
      </c>
      <c r="G230" s="17">
        <f>Tabla3[[#This Row],[% Op. Etapa]]*Tabla3[[#This Row],[Ratio]]</f>
        <v>0</v>
      </c>
      <c r="H230" s="17">
        <f>IF(Tabla3[[#This Row],[Noticia]]&gt;0,Tabla3[[#This Row],[% Esperado]]/2,Tabla3[[#This Row],[% Esperado]])</f>
        <v>0</v>
      </c>
      <c r="I230">
        <v>0</v>
      </c>
    </row>
    <row r="231" spans="1:9">
      <c r="A231" s="18">
        <v>46546</v>
      </c>
      <c r="B231" t="str">
        <f t="shared" si="3"/>
        <v>MARTES</v>
      </c>
      <c r="C231">
        <v>245</v>
      </c>
      <c r="D231">
        <f>_xlfn.XLOOKUP(Tabla3[[#This Row],[Dia Semana]],Riesgo!A:A,Riesgo!B:B)</f>
        <v>2</v>
      </c>
      <c r="F231" s="17">
        <f>_xlfn.XLOOKUP(Tabla3[[#This Row],[Etapa]],Etapas!A:A,Etapas!B:B)</f>
        <v>0</v>
      </c>
      <c r="G231" s="17">
        <f>Tabla3[[#This Row],[% Op. Etapa]]*Tabla3[[#This Row],[Ratio]]</f>
        <v>0</v>
      </c>
      <c r="H231" s="17">
        <f>IF(Tabla3[[#This Row],[Noticia]]&gt;0,Tabla3[[#This Row],[% Esperado]]/2,Tabla3[[#This Row],[% Esperado]])</f>
        <v>0</v>
      </c>
      <c r="I231">
        <v>0</v>
      </c>
    </row>
    <row r="232" spans="1:9">
      <c r="A232" s="18">
        <v>46547</v>
      </c>
      <c r="B232" t="str">
        <f t="shared" si="3"/>
        <v>MIÉRCOLES</v>
      </c>
      <c r="C232">
        <v>246</v>
      </c>
      <c r="D232">
        <f>_xlfn.XLOOKUP(Tabla3[[#This Row],[Dia Semana]],Riesgo!A:A,Riesgo!B:B)</f>
        <v>1</v>
      </c>
      <c r="F232" s="17">
        <f>_xlfn.XLOOKUP(Tabla3[[#This Row],[Etapa]],Etapas!A:A,Etapas!B:B)</f>
        <v>0</v>
      </c>
      <c r="G232" s="17">
        <f>Tabla3[[#This Row],[% Op. Etapa]]*Tabla3[[#This Row],[Ratio]]</f>
        <v>0</v>
      </c>
      <c r="H232" s="17">
        <f>IF(Tabla3[[#This Row],[Noticia]]&gt;0,Tabla3[[#This Row],[% Esperado]]/2,Tabla3[[#This Row],[% Esperado]])</f>
        <v>0</v>
      </c>
      <c r="I232">
        <v>0</v>
      </c>
    </row>
    <row r="233" spans="1:9">
      <c r="A233" s="18">
        <v>46548</v>
      </c>
      <c r="B233" t="str">
        <f t="shared" si="3"/>
        <v>JUEVES</v>
      </c>
      <c r="C233">
        <v>247</v>
      </c>
      <c r="D233">
        <f>_xlfn.XLOOKUP(Tabla3[[#This Row],[Dia Semana]],Riesgo!A:A,Riesgo!B:B)</f>
        <v>2</v>
      </c>
      <c r="F233" s="17">
        <f>_xlfn.XLOOKUP(Tabla3[[#This Row],[Etapa]],Etapas!A:A,Etapas!B:B)</f>
        <v>0</v>
      </c>
      <c r="G233" s="17">
        <f>Tabla3[[#This Row],[% Op. Etapa]]*Tabla3[[#This Row],[Ratio]]</f>
        <v>0</v>
      </c>
      <c r="H233" s="17">
        <f>IF(Tabla3[[#This Row],[Noticia]]&gt;0,Tabla3[[#This Row],[% Esperado]]/2,Tabla3[[#This Row],[% Esperado]])</f>
        <v>0</v>
      </c>
      <c r="I233">
        <v>0</v>
      </c>
    </row>
    <row r="234" spans="1:9">
      <c r="A234" s="18">
        <v>46549</v>
      </c>
      <c r="B234" t="str">
        <f t="shared" si="3"/>
        <v>VIERNES</v>
      </c>
      <c r="C234">
        <v>248</v>
      </c>
      <c r="D234">
        <f>_xlfn.XLOOKUP(Tabla3[[#This Row],[Dia Semana]],Riesgo!A:A,Riesgo!B:B)</f>
        <v>1</v>
      </c>
      <c r="F234" s="17">
        <f>_xlfn.XLOOKUP(Tabla3[[#This Row],[Etapa]],Etapas!A:A,Etapas!B:B)</f>
        <v>0</v>
      </c>
      <c r="G234" s="17">
        <f>Tabla3[[#This Row],[% Op. Etapa]]*Tabla3[[#This Row],[Ratio]]</f>
        <v>0</v>
      </c>
      <c r="H234" s="17">
        <f>IF(Tabla3[[#This Row],[Noticia]]&gt;0,Tabla3[[#This Row],[% Esperado]]/2,Tabla3[[#This Row],[% Esperado]])</f>
        <v>0</v>
      </c>
      <c r="I234">
        <v>0</v>
      </c>
    </row>
    <row r="235" spans="1:9">
      <c r="A235" s="18">
        <v>46550</v>
      </c>
      <c r="B235" t="str">
        <f t="shared" si="3"/>
        <v>SÁBADO</v>
      </c>
      <c r="C235">
        <v>249</v>
      </c>
      <c r="D235">
        <f>_xlfn.XLOOKUP(Tabla3[[#This Row],[Dia Semana]],Riesgo!A:A,Riesgo!B:B)</f>
        <v>0</v>
      </c>
      <c r="F235" s="17">
        <f>_xlfn.XLOOKUP(Tabla3[[#This Row],[Etapa]],Etapas!A:A,Etapas!B:B)</f>
        <v>0</v>
      </c>
      <c r="G235" s="17">
        <f>Tabla3[[#This Row],[% Op. Etapa]]*Tabla3[[#This Row],[Ratio]]</f>
        <v>0</v>
      </c>
      <c r="H235" s="17">
        <f>IF(Tabla3[[#This Row],[Noticia]]&gt;0,Tabla3[[#This Row],[% Esperado]]/2,Tabla3[[#This Row],[% Esperado]])</f>
        <v>0</v>
      </c>
      <c r="I235">
        <v>0</v>
      </c>
    </row>
    <row r="236" spans="1:9">
      <c r="A236" s="18">
        <v>46551</v>
      </c>
      <c r="B236" t="str">
        <f t="shared" si="3"/>
        <v>DOMINGO</v>
      </c>
      <c r="C236">
        <v>250</v>
      </c>
      <c r="D236">
        <f>_xlfn.XLOOKUP(Tabla3[[#This Row],[Dia Semana]],Riesgo!A:A,Riesgo!B:B)</f>
        <v>0</v>
      </c>
      <c r="F236" s="17">
        <f>_xlfn.XLOOKUP(Tabla3[[#This Row],[Etapa]],Etapas!A:A,Etapas!B:B)</f>
        <v>0</v>
      </c>
      <c r="G236" s="17">
        <f>Tabla3[[#This Row],[% Op. Etapa]]*Tabla3[[#This Row],[Ratio]]</f>
        <v>0</v>
      </c>
      <c r="H236" s="17">
        <f>IF(Tabla3[[#This Row],[Noticia]]&gt;0,Tabla3[[#This Row],[% Esperado]]/2,Tabla3[[#This Row],[% Esperado]])</f>
        <v>0</v>
      </c>
      <c r="I236">
        <v>0</v>
      </c>
    </row>
    <row r="237" spans="1:9">
      <c r="A237" s="18">
        <v>46552</v>
      </c>
      <c r="B237" t="str">
        <f t="shared" si="3"/>
        <v>LUNES</v>
      </c>
      <c r="C237">
        <v>251</v>
      </c>
      <c r="D237">
        <f>_xlfn.XLOOKUP(Tabla3[[#This Row],[Dia Semana]],Riesgo!A:A,Riesgo!B:B)</f>
        <v>2</v>
      </c>
      <c r="F237" s="17">
        <f>_xlfn.XLOOKUP(Tabla3[[#This Row],[Etapa]],Etapas!A:A,Etapas!B:B)</f>
        <v>0</v>
      </c>
      <c r="G237" s="17">
        <f>Tabla3[[#This Row],[% Op. Etapa]]*Tabla3[[#This Row],[Ratio]]</f>
        <v>0</v>
      </c>
      <c r="H237" s="17">
        <f>IF(Tabla3[[#This Row],[Noticia]]&gt;0,Tabla3[[#This Row],[% Esperado]]/2,Tabla3[[#This Row],[% Esperado]])</f>
        <v>0</v>
      </c>
      <c r="I237">
        <v>0</v>
      </c>
    </row>
    <row r="238" spans="1:9">
      <c r="A238" s="18">
        <v>46553</v>
      </c>
      <c r="B238" t="str">
        <f t="shared" si="3"/>
        <v>MARTES</v>
      </c>
      <c r="C238">
        <v>252</v>
      </c>
      <c r="D238">
        <f>_xlfn.XLOOKUP(Tabla3[[#This Row],[Dia Semana]],Riesgo!A:A,Riesgo!B:B)</f>
        <v>2</v>
      </c>
      <c r="F238" s="17">
        <f>_xlfn.XLOOKUP(Tabla3[[#This Row],[Etapa]],Etapas!A:A,Etapas!B:B)</f>
        <v>0</v>
      </c>
      <c r="G238" s="17">
        <f>Tabla3[[#This Row],[% Op. Etapa]]*Tabla3[[#This Row],[Ratio]]</f>
        <v>0</v>
      </c>
      <c r="H238" s="17">
        <f>IF(Tabla3[[#This Row],[Noticia]]&gt;0,Tabla3[[#This Row],[% Esperado]]/2,Tabla3[[#This Row],[% Esperado]])</f>
        <v>0</v>
      </c>
      <c r="I238">
        <v>0</v>
      </c>
    </row>
    <row r="239" spans="1:9">
      <c r="A239" s="18">
        <v>46554</v>
      </c>
      <c r="B239" t="str">
        <f t="shared" si="3"/>
        <v>MIÉRCOLES</v>
      </c>
      <c r="C239">
        <v>253</v>
      </c>
      <c r="D239">
        <f>_xlfn.XLOOKUP(Tabla3[[#This Row],[Dia Semana]],Riesgo!A:A,Riesgo!B:B)</f>
        <v>1</v>
      </c>
      <c r="F239" s="17">
        <f>_xlfn.XLOOKUP(Tabla3[[#This Row],[Etapa]],Etapas!A:A,Etapas!B:B)</f>
        <v>0</v>
      </c>
      <c r="G239" s="17">
        <f>Tabla3[[#This Row],[% Op. Etapa]]*Tabla3[[#This Row],[Ratio]]</f>
        <v>0</v>
      </c>
      <c r="H239" s="17">
        <f>IF(Tabla3[[#This Row],[Noticia]]&gt;0,Tabla3[[#This Row],[% Esperado]]/2,Tabla3[[#This Row],[% Esperado]])</f>
        <v>0</v>
      </c>
      <c r="I239">
        <v>0</v>
      </c>
    </row>
    <row r="240" spans="1:9">
      <c r="A240" s="18">
        <v>46555</v>
      </c>
      <c r="B240" t="str">
        <f t="shared" si="3"/>
        <v>JUEVES</v>
      </c>
      <c r="C240">
        <v>254</v>
      </c>
      <c r="D240">
        <f>_xlfn.XLOOKUP(Tabla3[[#This Row],[Dia Semana]],Riesgo!A:A,Riesgo!B:B)</f>
        <v>2</v>
      </c>
      <c r="F240" s="17">
        <f>_xlfn.XLOOKUP(Tabla3[[#This Row],[Etapa]],Etapas!A:A,Etapas!B:B)</f>
        <v>0</v>
      </c>
      <c r="G240" s="17">
        <f>Tabla3[[#This Row],[% Op. Etapa]]*Tabla3[[#This Row],[Ratio]]</f>
        <v>0</v>
      </c>
      <c r="H240" s="17">
        <f>IF(Tabla3[[#This Row],[Noticia]]&gt;0,Tabla3[[#This Row],[% Esperado]]/2,Tabla3[[#This Row],[% Esperado]])</f>
        <v>0</v>
      </c>
      <c r="I240">
        <v>0</v>
      </c>
    </row>
    <row r="241" spans="1:9">
      <c r="A241" s="18">
        <v>46556</v>
      </c>
      <c r="B241" t="str">
        <f t="shared" si="3"/>
        <v>VIERNES</v>
      </c>
      <c r="C241">
        <v>255</v>
      </c>
      <c r="D241">
        <f>_xlfn.XLOOKUP(Tabla3[[#This Row],[Dia Semana]],Riesgo!A:A,Riesgo!B:B)</f>
        <v>1</v>
      </c>
      <c r="F241" s="17">
        <f>_xlfn.XLOOKUP(Tabla3[[#This Row],[Etapa]],Etapas!A:A,Etapas!B:B)</f>
        <v>0</v>
      </c>
      <c r="G241" s="17">
        <f>Tabla3[[#This Row],[% Op. Etapa]]*Tabla3[[#This Row],[Ratio]]</f>
        <v>0</v>
      </c>
      <c r="H241" s="17">
        <f>IF(Tabla3[[#This Row],[Noticia]]&gt;0,Tabla3[[#This Row],[% Esperado]]/2,Tabla3[[#This Row],[% Esperado]])</f>
        <v>0</v>
      </c>
      <c r="I241">
        <v>0</v>
      </c>
    </row>
    <row r="242" spans="1:9">
      <c r="A242" s="18">
        <v>46557</v>
      </c>
      <c r="B242" t="str">
        <f t="shared" si="3"/>
        <v>SÁBADO</v>
      </c>
      <c r="C242">
        <v>256</v>
      </c>
      <c r="D242">
        <f>_xlfn.XLOOKUP(Tabla3[[#This Row],[Dia Semana]],Riesgo!A:A,Riesgo!B:B)</f>
        <v>0</v>
      </c>
      <c r="F242" s="17">
        <f>_xlfn.XLOOKUP(Tabla3[[#This Row],[Etapa]],Etapas!A:A,Etapas!B:B)</f>
        <v>0</v>
      </c>
      <c r="G242" s="17">
        <f>Tabla3[[#This Row],[% Op. Etapa]]*Tabla3[[#This Row],[Ratio]]</f>
        <v>0</v>
      </c>
      <c r="H242" s="17">
        <f>IF(Tabla3[[#This Row],[Noticia]]&gt;0,Tabla3[[#This Row],[% Esperado]]/2,Tabla3[[#This Row],[% Esperado]])</f>
        <v>0</v>
      </c>
      <c r="I242">
        <v>0</v>
      </c>
    </row>
    <row r="243" spans="1:9">
      <c r="A243" s="18">
        <v>46558</v>
      </c>
      <c r="B243" t="str">
        <f t="shared" si="3"/>
        <v>DOMINGO</v>
      </c>
      <c r="C243">
        <v>257</v>
      </c>
      <c r="D243">
        <f>_xlfn.XLOOKUP(Tabla3[[#This Row],[Dia Semana]],Riesgo!A:A,Riesgo!B:B)</f>
        <v>0</v>
      </c>
      <c r="F243" s="17">
        <f>_xlfn.XLOOKUP(Tabla3[[#This Row],[Etapa]],Etapas!A:A,Etapas!B:B)</f>
        <v>0</v>
      </c>
      <c r="G243" s="17">
        <f>Tabla3[[#This Row],[% Op. Etapa]]*Tabla3[[#This Row],[Ratio]]</f>
        <v>0</v>
      </c>
      <c r="H243" s="17">
        <f>IF(Tabla3[[#This Row],[Noticia]]&gt;0,Tabla3[[#This Row],[% Esperado]]/2,Tabla3[[#This Row],[% Esperado]])</f>
        <v>0</v>
      </c>
      <c r="I243">
        <v>0</v>
      </c>
    </row>
    <row r="244" spans="1:9">
      <c r="A244" s="18">
        <v>46559</v>
      </c>
      <c r="B244" t="str">
        <f t="shared" si="3"/>
        <v>LUNES</v>
      </c>
      <c r="C244">
        <v>258</v>
      </c>
      <c r="D244">
        <f>_xlfn.XLOOKUP(Tabla3[[#This Row],[Dia Semana]],Riesgo!A:A,Riesgo!B:B)</f>
        <v>2</v>
      </c>
      <c r="F244" s="17">
        <f>_xlfn.XLOOKUP(Tabla3[[#This Row],[Etapa]],Etapas!A:A,Etapas!B:B)</f>
        <v>0</v>
      </c>
      <c r="G244" s="17">
        <f>Tabla3[[#This Row],[% Op. Etapa]]*Tabla3[[#This Row],[Ratio]]</f>
        <v>0</v>
      </c>
      <c r="H244" s="17">
        <f>IF(Tabla3[[#This Row],[Noticia]]&gt;0,Tabla3[[#This Row],[% Esperado]]/2,Tabla3[[#This Row],[% Esperado]])</f>
        <v>0</v>
      </c>
      <c r="I244">
        <v>0</v>
      </c>
    </row>
    <row r="245" spans="1:9">
      <c r="A245" s="18">
        <v>46560</v>
      </c>
      <c r="B245" t="str">
        <f t="shared" si="3"/>
        <v>MARTES</v>
      </c>
      <c r="C245">
        <v>259</v>
      </c>
      <c r="D245">
        <f>_xlfn.XLOOKUP(Tabla3[[#This Row],[Dia Semana]],Riesgo!A:A,Riesgo!B:B)</f>
        <v>2</v>
      </c>
      <c r="F245" s="17">
        <f>_xlfn.XLOOKUP(Tabla3[[#This Row],[Etapa]],Etapas!A:A,Etapas!B:B)</f>
        <v>0</v>
      </c>
      <c r="G245" s="17">
        <f>Tabla3[[#This Row],[% Op. Etapa]]*Tabla3[[#This Row],[Ratio]]</f>
        <v>0</v>
      </c>
      <c r="H245" s="17">
        <f>IF(Tabla3[[#This Row],[Noticia]]&gt;0,Tabla3[[#This Row],[% Esperado]]/2,Tabla3[[#This Row],[% Esperado]])</f>
        <v>0</v>
      </c>
      <c r="I245">
        <v>0</v>
      </c>
    </row>
    <row r="246" spans="1:9">
      <c r="A246" s="18">
        <v>46561</v>
      </c>
      <c r="B246" t="str">
        <f t="shared" si="3"/>
        <v>MIÉRCOLES</v>
      </c>
      <c r="C246">
        <v>260</v>
      </c>
      <c r="D246">
        <f>_xlfn.XLOOKUP(Tabla3[[#This Row],[Dia Semana]],Riesgo!A:A,Riesgo!B:B)</f>
        <v>1</v>
      </c>
      <c r="F246" s="17">
        <f>_xlfn.XLOOKUP(Tabla3[[#This Row],[Etapa]],Etapas!A:A,Etapas!B:B)</f>
        <v>0</v>
      </c>
      <c r="G246" s="17">
        <f>Tabla3[[#This Row],[% Op. Etapa]]*Tabla3[[#This Row],[Ratio]]</f>
        <v>0</v>
      </c>
      <c r="H246" s="17">
        <f>IF(Tabla3[[#This Row],[Noticia]]&gt;0,Tabla3[[#This Row],[% Esperado]]/2,Tabla3[[#This Row],[% Esperado]])</f>
        <v>0</v>
      </c>
      <c r="I246">
        <v>0</v>
      </c>
    </row>
    <row r="247" spans="1:9">
      <c r="A247" s="18">
        <v>46562</v>
      </c>
      <c r="B247" t="str">
        <f t="shared" si="3"/>
        <v>JUEVES</v>
      </c>
      <c r="C247">
        <v>261</v>
      </c>
      <c r="D247">
        <f>_xlfn.XLOOKUP(Tabla3[[#This Row],[Dia Semana]],Riesgo!A:A,Riesgo!B:B)</f>
        <v>2</v>
      </c>
      <c r="F247" s="17">
        <f>_xlfn.XLOOKUP(Tabla3[[#This Row],[Etapa]],Etapas!A:A,Etapas!B:B)</f>
        <v>0</v>
      </c>
      <c r="G247" s="17">
        <f>Tabla3[[#This Row],[% Op. Etapa]]*Tabla3[[#This Row],[Ratio]]</f>
        <v>0</v>
      </c>
      <c r="H247" s="17">
        <f>IF(Tabla3[[#This Row],[Noticia]]&gt;0,Tabla3[[#This Row],[% Esperado]]/2,Tabla3[[#This Row],[% Esperado]])</f>
        <v>0</v>
      </c>
      <c r="I247">
        <v>0</v>
      </c>
    </row>
    <row r="248" spans="1:9">
      <c r="A248" s="18">
        <v>46563</v>
      </c>
      <c r="B248" t="str">
        <f t="shared" si="3"/>
        <v>VIERNES</v>
      </c>
      <c r="C248">
        <v>262</v>
      </c>
      <c r="D248">
        <f>_xlfn.XLOOKUP(Tabla3[[#This Row],[Dia Semana]],Riesgo!A:A,Riesgo!B:B)</f>
        <v>1</v>
      </c>
      <c r="F248" s="17">
        <f>_xlfn.XLOOKUP(Tabla3[[#This Row],[Etapa]],Etapas!A:A,Etapas!B:B)</f>
        <v>0</v>
      </c>
      <c r="G248" s="17">
        <f>Tabla3[[#This Row],[% Op. Etapa]]*Tabla3[[#This Row],[Ratio]]</f>
        <v>0</v>
      </c>
      <c r="H248" s="17">
        <f>IF(Tabla3[[#This Row],[Noticia]]&gt;0,Tabla3[[#This Row],[% Esperado]]/2,Tabla3[[#This Row],[% Esperado]])</f>
        <v>0</v>
      </c>
      <c r="I248">
        <v>0</v>
      </c>
    </row>
    <row r="249" spans="1:9">
      <c r="A249" s="18">
        <v>46564</v>
      </c>
      <c r="B249" t="str">
        <f t="shared" si="3"/>
        <v>SÁBADO</v>
      </c>
      <c r="C249">
        <v>263</v>
      </c>
      <c r="D249">
        <f>_xlfn.XLOOKUP(Tabla3[[#This Row],[Dia Semana]],Riesgo!A:A,Riesgo!B:B)</f>
        <v>0</v>
      </c>
      <c r="F249" s="17">
        <f>_xlfn.XLOOKUP(Tabla3[[#This Row],[Etapa]],Etapas!A:A,Etapas!B:B)</f>
        <v>0</v>
      </c>
      <c r="G249" s="17">
        <f>Tabla3[[#This Row],[% Op. Etapa]]*Tabla3[[#This Row],[Ratio]]</f>
        <v>0</v>
      </c>
      <c r="H249" s="17">
        <f>IF(Tabla3[[#This Row],[Noticia]]&gt;0,Tabla3[[#This Row],[% Esperado]]/2,Tabla3[[#This Row],[% Esperado]])</f>
        <v>0</v>
      </c>
      <c r="I249">
        <v>0</v>
      </c>
    </row>
    <row r="250" spans="1:9">
      <c r="A250" s="18">
        <v>46565</v>
      </c>
      <c r="B250" t="str">
        <f t="shared" si="3"/>
        <v>DOMINGO</v>
      </c>
      <c r="C250">
        <v>264</v>
      </c>
      <c r="D250">
        <f>_xlfn.XLOOKUP(Tabla3[[#This Row],[Dia Semana]],Riesgo!A:A,Riesgo!B:B)</f>
        <v>0</v>
      </c>
      <c r="F250" s="17">
        <f>_xlfn.XLOOKUP(Tabla3[[#This Row],[Etapa]],Etapas!A:A,Etapas!B:B)</f>
        <v>0</v>
      </c>
      <c r="G250" s="17">
        <f>Tabla3[[#This Row],[% Op. Etapa]]*Tabla3[[#This Row],[Ratio]]</f>
        <v>0</v>
      </c>
      <c r="H250" s="17">
        <f>IF(Tabla3[[#This Row],[Noticia]]&gt;0,Tabla3[[#This Row],[% Esperado]]/2,Tabla3[[#This Row],[% Esperado]])</f>
        <v>0</v>
      </c>
      <c r="I250">
        <v>0</v>
      </c>
    </row>
    <row r="251" spans="1:9">
      <c r="A251" s="18">
        <v>46566</v>
      </c>
      <c r="B251" t="str">
        <f t="shared" si="3"/>
        <v>LUNES</v>
      </c>
      <c r="C251">
        <v>265</v>
      </c>
      <c r="D251">
        <f>_xlfn.XLOOKUP(Tabla3[[#This Row],[Dia Semana]],Riesgo!A:A,Riesgo!B:B)</f>
        <v>2</v>
      </c>
      <c r="F251" s="17">
        <f>_xlfn.XLOOKUP(Tabla3[[#This Row],[Etapa]],Etapas!A:A,Etapas!B:B)</f>
        <v>0</v>
      </c>
      <c r="G251" s="17">
        <f>Tabla3[[#This Row],[% Op. Etapa]]*Tabla3[[#This Row],[Ratio]]</f>
        <v>0</v>
      </c>
      <c r="H251" s="17">
        <f>IF(Tabla3[[#This Row],[Noticia]]&gt;0,Tabla3[[#This Row],[% Esperado]]/2,Tabla3[[#This Row],[% Esperado]])</f>
        <v>0</v>
      </c>
      <c r="I251">
        <v>0</v>
      </c>
    </row>
    <row r="252" spans="1:9">
      <c r="A252" s="18">
        <v>46567</v>
      </c>
      <c r="B252" t="str">
        <f t="shared" si="3"/>
        <v>MARTES</v>
      </c>
      <c r="C252">
        <v>266</v>
      </c>
      <c r="D252">
        <f>_xlfn.XLOOKUP(Tabla3[[#This Row],[Dia Semana]],Riesgo!A:A,Riesgo!B:B)</f>
        <v>2</v>
      </c>
      <c r="F252" s="17">
        <f>_xlfn.XLOOKUP(Tabla3[[#This Row],[Etapa]],Etapas!A:A,Etapas!B:B)</f>
        <v>0</v>
      </c>
      <c r="G252" s="17">
        <f>Tabla3[[#This Row],[% Op. Etapa]]*Tabla3[[#This Row],[Ratio]]</f>
        <v>0</v>
      </c>
      <c r="H252" s="17">
        <f>IF(Tabla3[[#This Row],[Noticia]]&gt;0,Tabla3[[#This Row],[% Esperado]]/2,Tabla3[[#This Row],[% Esperado]])</f>
        <v>0</v>
      </c>
      <c r="I252">
        <v>0</v>
      </c>
    </row>
    <row r="253" spans="1:9">
      <c r="A253" s="18">
        <v>46568</v>
      </c>
      <c r="B253" t="str">
        <f t="shared" si="3"/>
        <v>MIÉRCOLES</v>
      </c>
      <c r="C253">
        <v>267</v>
      </c>
      <c r="D253">
        <f>_xlfn.XLOOKUP(Tabla3[[#This Row],[Dia Semana]],Riesgo!A:A,Riesgo!B:B)</f>
        <v>1</v>
      </c>
      <c r="F253" s="17">
        <f>_xlfn.XLOOKUP(Tabla3[[#This Row],[Etapa]],Etapas!A:A,Etapas!B:B)</f>
        <v>0</v>
      </c>
      <c r="G253" s="17">
        <f>Tabla3[[#This Row],[% Op. Etapa]]*Tabla3[[#This Row],[Ratio]]</f>
        <v>0</v>
      </c>
      <c r="H253" s="17">
        <f>IF(Tabla3[[#This Row],[Noticia]]&gt;0,Tabla3[[#This Row],[% Esperado]]/2,Tabla3[[#This Row],[% Esperado]])</f>
        <v>0</v>
      </c>
      <c r="I253">
        <v>0</v>
      </c>
    </row>
    <row r="254" spans="1:9">
      <c r="A254" s="18">
        <v>46569</v>
      </c>
      <c r="B254" t="str">
        <f t="shared" si="3"/>
        <v>JUEVES</v>
      </c>
      <c r="C254">
        <v>268</v>
      </c>
      <c r="D254">
        <f>_xlfn.XLOOKUP(Tabla3[[#This Row],[Dia Semana]],Riesgo!A:A,Riesgo!B:B)</f>
        <v>2</v>
      </c>
      <c r="F254" s="17">
        <f>_xlfn.XLOOKUP(Tabla3[[#This Row],[Etapa]],Etapas!A:A,Etapas!B:B)</f>
        <v>0</v>
      </c>
      <c r="G254" s="17">
        <f>Tabla3[[#This Row],[% Op. Etapa]]*Tabla3[[#This Row],[Ratio]]</f>
        <v>0</v>
      </c>
      <c r="H254" s="17">
        <f>IF(Tabla3[[#This Row],[Noticia]]&gt;0,Tabla3[[#This Row],[% Esperado]]/2,Tabla3[[#This Row],[% Esperado]])</f>
        <v>0</v>
      </c>
      <c r="I254">
        <v>0</v>
      </c>
    </row>
    <row r="255" spans="1:9">
      <c r="A255" s="18">
        <v>46570</v>
      </c>
      <c r="B255" t="str">
        <f t="shared" si="3"/>
        <v>VIERNES</v>
      </c>
      <c r="C255">
        <v>269</v>
      </c>
      <c r="D255">
        <f>_xlfn.XLOOKUP(Tabla3[[#This Row],[Dia Semana]],Riesgo!A:A,Riesgo!B:B)</f>
        <v>1</v>
      </c>
      <c r="F255" s="17">
        <f>_xlfn.XLOOKUP(Tabla3[[#This Row],[Etapa]],Etapas!A:A,Etapas!B:B)</f>
        <v>0</v>
      </c>
      <c r="G255" s="17">
        <f>Tabla3[[#This Row],[% Op. Etapa]]*Tabla3[[#This Row],[Ratio]]</f>
        <v>0</v>
      </c>
      <c r="H255" s="17">
        <f>IF(Tabla3[[#This Row],[Noticia]]&gt;0,Tabla3[[#This Row],[% Esperado]]/2,Tabla3[[#This Row],[% Esperado]])</f>
        <v>0</v>
      </c>
      <c r="I255">
        <v>0</v>
      </c>
    </row>
    <row r="256" spans="1:9">
      <c r="A256" s="18">
        <v>46571</v>
      </c>
      <c r="B256" t="str">
        <f t="shared" si="3"/>
        <v>SÁBADO</v>
      </c>
      <c r="C256">
        <v>270</v>
      </c>
      <c r="D256">
        <f>_xlfn.XLOOKUP(Tabla3[[#This Row],[Dia Semana]],Riesgo!A:A,Riesgo!B:B)</f>
        <v>0</v>
      </c>
      <c r="F256" s="17">
        <f>_xlfn.XLOOKUP(Tabla3[[#This Row],[Etapa]],Etapas!A:A,Etapas!B:B)</f>
        <v>0</v>
      </c>
      <c r="G256" s="17">
        <f>Tabla3[[#This Row],[% Op. Etapa]]*Tabla3[[#This Row],[Ratio]]</f>
        <v>0</v>
      </c>
      <c r="H256" s="17">
        <f>IF(Tabla3[[#This Row],[Noticia]]&gt;0,Tabla3[[#This Row],[% Esperado]]/2,Tabla3[[#This Row],[% Esperado]])</f>
        <v>0</v>
      </c>
      <c r="I256">
        <v>0</v>
      </c>
    </row>
    <row r="257" spans="1:9">
      <c r="A257" s="18">
        <v>46572</v>
      </c>
      <c r="B257" t="str">
        <f t="shared" si="3"/>
        <v>DOMINGO</v>
      </c>
      <c r="C257">
        <v>271</v>
      </c>
      <c r="D257">
        <f>_xlfn.XLOOKUP(Tabla3[[#This Row],[Dia Semana]],Riesgo!A:A,Riesgo!B:B)</f>
        <v>0</v>
      </c>
      <c r="F257" s="17">
        <f>_xlfn.XLOOKUP(Tabla3[[#This Row],[Etapa]],Etapas!A:A,Etapas!B:B)</f>
        <v>0</v>
      </c>
      <c r="G257" s="17">
        <f>Tabla3[[#This Row],[% Op. Etapa]]*Tabla3[[#This Row],[Ratio]]</f>
        <v>0</v>
      </c>
      <c r="H257" s="17">
        <f>IF(Tabla3[[#This Row],[Noticia]]&gt;0,Tabla3[[#This Row],[% Esperado]]/2,Tabla3[[#This Row],[% Esperado]])</f>
        <v>0</v>
      </c>
      <c r="I257">
        <v>0</v>
      </c>
    </row>
    <row r="258" spans="1:9">
      <c r="A258" s="18">
        <v>46573</v>
      </c>
      <c r="B258" t="str">
        <f t="shared" ref="B258:B271" si="4">UPPER(TEXT(A258,"dddd"))</f>
        <v>LUNES</v>
      </c>
      <c r="C258">
        <v>272</v>
      </c>
      <c r="D258">
        <f>_xlfn.XLOOKUP(Tabla3[[#This Row],[Dia Semana]],Riesgo!A:A,Riesgo!B:B)</f>
        <v>2</v>
      </c>
      <c r="F258" s="17">
        <f>_xlfn.XLOOKUP(Tabla3[[#This Row],[Etapa]],Etapas!A:A,Etapas!B:B)</f>
        <v>0</v>
      </c>
      <c r="G258" s="17">
        <f>Tabla3[[#This Row],[% Op. Etapa]]*Tabla3[[#This Row],[Ratio]]</f>
        <v>0</v>
      </c>
      <c r="H258" s="17">
        <f>IF(Tabla3[[#This Row],[Noticia]]&gt;0,Tabla3[[#This Row],[% Esperado]]/2,Tabla3[[#This Row],[% Esperado]])</f>
        <v>0</v>
      </c>
      <c r="I258">
        <v>0</v>
      </c>
    </row>
    <row r="259" spans="1:9">
      <c r="A259" s="18">
        <v>46574</v>
      </c>
      <c r="B259" t="str">
        <f t="shared" si="4"/>
        <v>MARTES</v>
      </c>
      <c r="C259">
        <v>273</v>
      </c>
      <c r="D259">
        <f>_xlfn.XLOOKUP(Tabla3[[#This Row],[Dia Semana]],Riesgo!A:A,Riesgo!B:B)</f>
        <v>2</v>
      </c>
      <c r="F259" s="17">
        <f>_xlfn.XLOOKUP(Tabla3[[#This Row],[Etapa]],Etapas!A:A,Etapas!B:B)</f>
        <v>0</v>
      </c>
      <c r="G259" s="17">
        <f>Tabla3[[#This Row],[% Op. Etapa]]*Tabla3[[#This Row],[Ratio]]</f>
        <v>0</v>
      </c>
      <c r="H259" s="17">
        <f>IF(Tabla3[[#This Row],[Noticia]]&gt;0,Tabla3[[#This Row],[% Esperado]]/2,Tabla3[[#This Row],[% Esperado]])</f>
        <v>0</v>
      </c>
      <c r="I259">
        <v>0</v>
      </c>
    </row>
    <row r="260" spans="1:9">
      <c r="A260" s="18">
        <v>46575</v>
      </c>
      <c r="B260" t="str">
        <f t="shared" si="4"/>
        <v>MIÉRCOLES</v>
      </c>
      <c r="C260">
        <v>274</v>
      </c>
      <c r="D260">
        <f>_xlfn.XLOOKUP(Tabla3[[#This Row],[Dia Semana]],Riesgo!A:A,Riesgo!B:B)</f>
        <v>1</v>
      </c>
      <c r="F260" s="17">
        <f>_xlfn.XLOOKUP(Tabla3[[#This Row],[Etapa]],Etapas!A:A,Etapas!B:B)</f>
        <v>0</v>
      </c>
      <c r="G260" s="17">
        <f>Tabla3[[#This Row],[% Op. Etapa]]*Tabla3[[#This Row],[Ratio]]</f>
        <v>0</v>
      </c>
      <c r="H260" s="17">
        <f>IF(Tabla3[[#This Row],[Noticia]]&gt;0,Tabla3[[#This Row],[% Esperado]]/2,Tabla3[[#This Row],[% Esperado]])</f>
        <v>0</v>
      </c>
      <c r="I260">
        <v>0</v>
      </c>
    </row>
    <row r="261" spans="1:9">
      <c r="A261" s="18">
        <v>46576</v>
      </c>
      <c r="B261" t="str">
        <f t="shared" si="4"/>
        <v>JUEVES</v>
      </c>
      <c r="C261">
        <v>275</v>
      </c>
      <c r="D261">
        <f>_xlfn.XLOOKUP(Tabla3[[#This Row],[Dia Semana]],Riesgo!A:A,Riesgo!B:B)</f>
        <v>2</v>
      </c>
      <c r="F261" s="17">
        <f>_xlfn.XLOOKUP(Tabla3[[#This Row],[Etapa]],Etapas!A:A,Etapas!B:B)</f>
        <v>0</v>
      </c>
      <c r="G261" s="17">
        <f>Tabla3[[#This Row],[% Op. Etapa]]*Tabla3[[#This Row],[Ratio]]</f>
        <v>0</v>
      </c>
      <c r="H261" s="17">
        <f>IF(Tabla3[[#This Row],[Noticia]]&gt;0,Tabla3[[#This Row],[% Esperado]]/2,Tabla3[[#This Row],[% Esperado]])</f>
        <v>0</v>
      </c>
      <c r="I261">
        <v>0</v>
      </c>
    </row>
    <row r="262" spans="1:9">
      <c r="A262" s="18">
        <v>46577</v>
      </c>
      <c r="B262" t="str">
        <f t="shared" si="4"/>
        <v>VIERNES</v>
      </c>
      <c r="C262">
        <v>276</v>
      </c>
      <c r="D262">
        <f>_xlfn.XLOOKUP(Tabla3[[#This Row],[Dia Semana]],Riesgo!A:A,Riesgo!B:B)</f>
        <v>1</v>
      </c>
      <c r="F262" s="17">
        <f>_xlfn.XLOOKUP(Tabla3[[#This Row],[Etapa]],Etapas!A:A,Etapas!B:B)</f>
        <v>0</v>
      </c>
      <c r="G262" s="17">
        <f>Tabla3[[#This Row],[% Op. Etapa]]*Tabla3[[#This Row],[Ratio]]</f>
        <v>0</v>
      </c>
      <c r="H262" s="17">
        <f>IF(Tabla3[[#This Row],[Noticia]]&gt;0,Tabla3[[#This Row],[% Esperado]]/2,Tabla3[[#This Row],[% Esperado]])</f>
        <v>0</v>
      </c>
      <c r="I262">
        <v>0</v>
      </c>
    </row>
    <row r="263" spans="1:9">
      <c r="A263" s="18">
        <v>46578</v>
      </c>
      <c r="B263" t="str">
        <f t="shared" si="4"/>
        <v>SÁBADO</v>
      </c>
      <c r="C263">
        <v>277</v>
      </c>
      <c r="D263">
        <f>_xlfn.XLOOKUP(Tabla3[[#This Row],[Dia Semana]],Riesgo!A:A,Riesgo!B:B)</f>
        <v>0</v>
      </c>
      <c r="F263" s="17">
        <f>_xlfn.XLOOKUP(Tabla3[[#This Row],[Etapa]],Etapas!A:A,Etapas!B:B)</f>
        <v>0</v>
      </c>
      <c r="G263" s="17">
        <f>Tabla3[[#This Row],[% Op. Etapa]]*Tabla3[[#This Row],[Ratio]]</f>
        <v>0</v>
      </c>
      <c r="H263" s="17">
        <f>IF(Tabla3[[#This Row],[Noticia]]&gt;0,Tabla3[[#This Row],[% Esperado]]/2,Tabla3[[#This Row],[% Esperado]])</f>
        <v>0</v>
      </c>
      <c r="I263">
        <v>0</v>
      </c>
    </row>
    <row r="264" spans="1:9">
      <c r="A264" s="18">
        <v>46579</v>
      </c>
      <c r="B264" t="str">
        <f t="shared" si="4"/>
        <v>DOMINGO</v>
      </c>
      <c r="C264">
        <v>278</v>
      </c>
      <c r="D264">
        <f>_xlfn.XLOOKUP(Tabla3[[#This Row],[Dia Semana]],Riesgo!A:A,Riesgo!B:B)</f>
        <v>0</v>
      </c>
      <c r="F264" s="17">
        <f>_xlfn.XLOOKUP(Tabla3[[#This Row],[Etapa]],Etapas!A:A,Etapas!B:B)</f>
        <v>0</v>
      </c>
      <c r="G264" s="17">
        <f>Tabla3[[#This Row],[% Op. Etapa]]*Tabla3[[#This Row],[Ratio]]</f>
        <v>0</v>
      </c>
      <c r="H264" s="17">
        <f>IF(Tabla3[[#This Row],[Noticia]]&gt;0,Tabla3[[#This Row],[% Esperado]]/2,Tabla3[[#This Row],[% Esperado]])</f>
        <v>0</v>
      </c>
      <c r="I264">
        <v>0</v>
      </c>
    </row>
    <row r="265" spans="1:9">
      <c r="A265" s="18">
        <v>46580</v>
      </c>
      <c r="B265" t="str">
        <f t="shared" si="4"/>
        <v>LUNES</v>
      </c>
      <c r="C265">
        <v>279</v>
      </c>
      <c r="D265">
        <f>_xlfn.XLOOKUP(Tabla3[[#This Row],[Dia Semana]],Riesgo!A:A,Riesgo!B:B)</f>
        <v>2</v>
      </c>
      <c r="F265" s="17">
        <f>_xlfn.XLOOKUP(Tabla3[[#This Row],[Etapa]],Etapas!A:A,Etapas!B:B)</f>
        <v>0</v>
      </c>
      <c r="G265" s="17">
        <f>Tabla3[[#This Row],[% Op. Etapa]]*Tabla3[[#This Row],[Ratio]]</f>
        <v>0</v>
      </c>
      <c r="H265" s="17">
        <f>IF(Tabla3[[#This Row],[Noticia]]&gt;0,Tabla3[[#This Row],[% Esperado]]/2,Tabla3[[#This Row],[% Esperado]])</f>
        <v>0</v>
      </c>
      <c r="I265">
        <v>0</v>
      </c>
    </row>
    <row r="266" spans="1:9">
      <c r="A266" s="18">
        <v>46581</v>
      </c>
      <c r="B266" t="str">
        <f t="shared" si="4"/>
        <v>MARTES</v>
      </c>
      <c r="C266">
        <v>280</v>
      </c>
      <c r="D266">
        <f>_xlfn.XLOOKUP(Tabla3[[#This Row],[Dia Semana]],Riesgo!A:A,Riesgo!B:B)</f>
        <v>2</v>
      </c>
      <c r="F266" s="17">
        <f>_xlfn.XLOOKUP(Tabla3[[#This Row],[Etapa]],Etapas!A:A,Etapas!B:B)</f>
        <v>0</v>
      </c>
      <c r="G266" s="17">
        <f>Tabla3[[#This Row],[% Op. Etapa]]*Tabla3[[#This Row],[Ratio]]</f>
        <v>0</v>
      </c>
      <c r="H266" s="17">
        <f>IF(Tabla3[[#This Row],[Noticia]]&gt;0,Tabla3[[#This Row],[% Esperado]]/2,Tabla3[[#This Row],[% Esperado]])</f>
        <v>0</v>
      </c>
      <c r="I266">
        <v>0</v>
      </c>
    </row>
    <row r="267" spans="1:9">
      <c r="A267" s="18">
        <v>46582</v>
      </c>
      <c r="B267" t="str">
        <f t="shared" si="4"/>
        <v>MIÉRCOLES</v>
      </c>
      <c r="C267">
        <v>281</v>
      </c>
      <c r="D267">
        <f>_xlfn.XLOOKUP(Tabla3[[#This Row],[Dia Semana]],Riesgo!A:A,Riesgo!B:B)</f>
        <v>1</v>
      </c>
      <c r="F267" s="17">
        <f>_xlfn.XLOOKUP(Tabla3[[#This Row],[Etapa]],Etapas!A:A,Etapas!B:B)</f>
        <v>0</v>
      </c>
      <c r="G267" s="17">
        <f>Tabla3[[#This Row],[% Op. Etapa]]*Tabla3[[#This Row],[Ratio]]</f>
        <v>0</v>
      </c>
      <c r="H267" s="17">
        <f>IF(Tabla3[[#This Row],[Noticia]]&gt;0,Tabla3[[#This Row],[% Esperado]]/2,Tabla3[[#This Row],[% Esperado]])</f>
        <v>0</v>
      </c>
      <c r="I267">
        <v>0</v>
      </c>
    </row>
    <row r="268" spans="1:9">
      <c r="A268" s="18">
        <v>46583</v>
      </c>
      <c r="B268" t="str">
        <f t="shared" si="4"/>
        <v>JUEVES</v>
      </c>
      <c r="C268">
        <v>282</v>
      </c>
      <c r="D268">
        <f>_xlfn.XLOOKUP(Tabla3[[#This Row],[Dia Semana]],Riesgo!A:A,Riesgo!B:B)</f>
        <v>2</v>
      </c>
      <c r="F268" s="17">
        <f>_xlfn.XLOOKUP(Tabla3[[#This Row],[Etapa]],Etapas!A:A,Etapas!B:B)</f>
        <v>0</v>
      </c>
      <c r="G268" s="17">
        <f>Tabla3[[#This Row],[% Op. Etapa]]*Tabla3[[#This Row],[Ratio]]</f>
        <v>0</v>
      </c>
      <c r="H268" s="17">
        <f>IF(Tabla3[[#This Row],[Noticia]]&gt;0,Tabla3[[#This Row],[% Esperado]]/2,Tabla3[[#This Row],[% Esperado]])</f>
        <v>0</v>
      </c>
      <c r="I268">
        <v>0</v>
      </c>
    </row>
    <row r="269" spans="1:9">
      <c r="A269" s="18">
        <v>46584</v>
      </c>
      <c r="B269" t="str">
        <f t="shared" si="4"/>
        <v>VIERNES</v>
      </c>
      <c r="C269">
        <v>283</v>
      </c>
      <c r="D269">
        <f>_xlfn.XLOOKUP(Tabla3[[#This Row],[Dia Semana]],Riesgo!A:A,Riesgo!B:B)</f>
        <v>1</v>
      </c>
      <c r="F269" s="17">
        <f>_xlfn.XLOOKUP(Tabla3[[#This Row],[Etapa]],Etapas!A:A,Etapas!B:B)</f>
        <v>0</v>
      </c>
      <c r="G269" s="17">
        <f>Tabla3[[#This Row],[% Op. Etapa]]*Tabla3[[#This Row],[Ratio]]</f>
        <v>0</v>
      </c>
      <c r="H269" s="17">
        <f>IF(Tabla3[[#This Row],[Noticia]]&gt;0,Tabla3[[#This Row],[% Esperado]]/2,Tabla3[[#This Row],[% Esperado]])</f>
        <v>0</v>
      </c>
      <c r="I269">
        <v>0</v>
      </c>
    </row>
    <row r="270" spans="1:9">
      <c r="A270" s="18">
        <v>46585</v>
      </c>
      <c r="B270" t="str">
        <f t="shared" si="4"/>
        <v>SÁBADO</v>
      </c>
      <c r="C270">
        <v>284</v>
      </c>
      <c r="D270">
        <f>_xlfn.XLOOKUP(Tabla3[[#This Row],[Dia Semana]],Riesgo!A:A,Riesgo!B:B)</f>
        <v>0</v>
      </c>
      <c r="F270" s="17">
        <f>_xlfn.XLOOKUP(Tabla3[[#This Row],[Etapa]],Etapas!A:A,Etapas!B:B)</f>
        <v>0</v>
      </c>
      <c r="G270" s="17">
        <f>Tabla3[[#This Row],[% Op. Etapa]]*Tabla3[[#This Row],[Ratio]]</f>
        <v>0</v>
      </c>
      <c r="H270" s="17">
        <f>IF(Tabla3[[#This Row],[Noticia]]&gt;0,Tabla3[[#This Row],[% Esperado]]/2,Tabla3[[#This Row],[% Esperado]])</f>
        <v>0</v>
      </c>
      <c r="I270">
        <v>0</v>
      </c>
    </row>
    <row r="271" spans="1:9">
      <c r="A271" s="18">
        <v>46586</v>
      </c>
      <c r="B271" t="str">
        <f t="shared" si="4"/>
        <v>DOMINGO</v>
      </c>
      <c r="C271">
        <v>285</v>
      </c>
      <c r="D271">
        <f>_xlfn.XLOOKUP(Tabla3[[#This Row],[Dia Semana]],Riesgo!A:A,Riesgo!B:B)</f>
        <v>0</v>
      </c>
      <c r="F271" s="17">
        <f>_xlfn.XLOOKUP(Tabla3[[#This Row],[Etapa]],Etapas!A:A,Etapas!B:B)</f>
        <v>0</v>
      </c>
      <c r="G271" s="17">
        <f>Tabla3[[#This Row],[% Op. Etapa]]*Tabla3[[#This Row],[Ratio]]</f>
        <v>0</v>
      </c>
      <c r="H271" s="17">
        <f>IF(Tabla3[[#This Row],[Noticia]]&gt;0,Tabla3[[#This Row],[% Esperado]]/2,Tabla3[[#This Row],[% Esperado]])</f>
        <v>0</v>
      </c>
      <c r="I271">
        <v>0</v>
      </c>
    </row>
  </sheetData>
  <dataValidations count="1">
    <dataValidation allowBlank="1" showInputMessage="1" showErrorMessage="1" sqref="F1:F1048576" xr:uid="{9A17B10D-5904-45FC-8455-E0B87D4F73D5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15D755-8C74-4EB2-9D54-98BB2B1DDC10}">
          <x14:formula1>
            <xm:f>Etapas!$A$2:$A$7</xm:f>
          </x14:formula1>
          <xm:sqref>E2:E271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9EA8-A442-49C1-970D-30A5A570B9C5}">
  <dimension ref="A1:B8"/>
  <sheetViews>
    <sheetView workbookViewId="0">
      <selection activeCell="A5" sqref="A5"/>
    </sheetView>
  </sheetViews>
  <sheetFormatPr defaultRowHeight="15"/>
  <cols>
    <col min="1" max="1" width="20.85546875" bestFit="1" customWidth="1"/>
  </cols>
  <sheetData>
    <row r="1" spans="1:2">
      <c r="A1" t="s">
        <v>57</v>
      </c>
      <c r="B1" t="s">
        <v>58</v>
      </c>
    </row>
    <row r="2" spans="1:2">
      <c r="A2" t="s">
        <v>59</v>
      </c>
      <c r="B2">
        <v>2</v>
      </c>
    </row>
    <row r="3" spans="1:2">
      <c r="A3" t="s">
        <v>60</v>
      </c>
      <c r="B3">
        <v>2</v>
      </c>
    </row>
    <row r="4" spans="1:2">
      <c r="A4" t="s">
        <v>61</v>
      </c>
      <c r="B4">
        <v>1</v>
      </c>
    </row>
    <row r="5" spans="1:2">
      <c r="A5" t="s">
        <v>62</v>
      </c>
      <c r="B5">
        <v>2</v>
      </c>
    </row>
    <row r="6" spans="1:2">
      <c r="A6" t="s">
        <v>63</v>
      </c>
      <c r="B6">
        <v>1</v>
      </c>
    </row>
    <row r="7" spans="1:2">
      <c r="A7" t="s">
        <v>64</v>
      </c>
      <c r="B7">
        <v>0</v>
      </c>
    </row>
    <row r="8" spans="1:2">
      <c r="A8" t="s">
        <v>65</v>
      </c>
      <c r="B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AE26-C0EC-4F4E-BC80-7109B017A151}">
  <dimension ref="A1:I7"/>
  <sheetViews>
    <sheetView workbookViewId="0">
      <selection activeCell="D11" sqref="D11"/>
    </sheetView>
  </sheetViews>
  <sheetFormatPr defaultRowHeight="15"/>
  <cols>
    <col min="1" max="1" width="11.28515625" bestFit="1" customWidth="1"/>
    <col min="2" max="2" width="8.140625" style="17" bestFit="1" customWidth="1"/>
    <col min="3" max="3" width="11.28515625" customWidth="1"/>
    <col min="4" max="4" width="12.42578125" bestFit="1" customWidth="1"/>
    <col min="5" max="5" width="15.5703125" bestFit="1" customWidth="1"/>
    <col min="7" max="7" width="12.42578125" bestFit="1" customWidth="1"/>
    <col min="8" max="8" width="14.5703125" bestFit="1" customWidth="1"/>
    <col min="9" max="9" width="21.140625" bestFit="1" customWidth="1"/>
  </cols>
  <sheetData>
    <row r="1" spans="1:9">
      <c r="A1" t="s">
        <v>40</v>
      </c>
      <c r="B1" s="17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 spans="1:9">
      <c r="A2" t="s">
        <v>16</v>
      </c>
      <c r="B2" s="17">
        <v>0.02</v>
      </c>
      <c r="C2">
        <v>30</v>
      </c>
      <c r="D2">
        <v>30</v>
      </c>
      <c r="E2">
        <v>10</v>
      </c>
      <c r="F2">
        <v>60</v>
      </c>
      <c r="G2" s="16">
        <v>7.0000000000000007E-2</v>
      </c>
      <c r="H2" s="16">
        <v>0</v>
      </c>
      <c r="I2" t="s">
        <v>74</v>
      </c>
    </row>
    <row r="3" spans="1:9">
      <c r="A3" t="s">
        <v>49</v>
      </c>
      <c r="B3" s="17">
        <v>5.0000000000000001E-3</v>
      </c>
      <c r="C3">
        <v>60</v>
      </c>
      <c r="D3">
        <v>60</v>
      </c>
      <c r="E3">
        <v>10</v>
      </c>
      <c r="F3">
        <v>70</v>
      </c>
      <c r="G3" s="16">
        <v>7.0000000000000007E-2</v>
      </c>
      <c r="H3" s="16">
        <v>0.4</v>
      </c>
      <c r="I3" t="s">
        <v>75</v>
      </c>
    </row>
    <row r="4" spans="1:9">
      <c r="A4" t="s">
        <v>76</v>
      </c>
      <c r="B4" s="17">
        <v>3.5000000000000001E-3</v>
      </c>
      <c r="C4">
        <v>60</v>
      </c>
      <c r="D4">
        <v>60</v>
      </c>
      <c r="E4">
        <v>25</v>
      </c>
      <c r="F4">
        <v>90</v>
      </c>
      <c r="G4" s="16">
        <v>7.0000000000000007E-2</v>
      </c>
      <c r="H4" s="16">
        <v>0.5</v>
      </c>
      <c r="I4" t="s">
        <v>77</v>
      </c>
    </row>
    <row r="5" spans="1:9">
      <c r="A5" t="s">
        <v>78</v>
      </c>
      <c r="B5" s="17">
        <v>3.5000000000000001E-3</v>
      </c>
      <c r="C5">
        <v>60</v>
      </c>
      <c r="D5">
        <v>60</v>
      </c>
      <c r="E5">
        <v>40</v>
      </c>
      <c r="F5">
        <v>90</v>
      </c>
      <c r="G5" s="16">
        <v>7.0000000000000007E-2</v>
      </c>
      <c r="H5" s="16">
        <v>0.6</v>
      </c>
      <c r="I5" t="s">
        <v>79</v>
      </c>
    </row>
    <row r="6" spans="1:9">
      <c r="A6" t="s">
        <v>80</v>
      </c>
      <c r="B6" s="17">
        <v>3.5000000000000001E-3</v>
      </c>
      <c r="C6">
        <v>60</v>
      </c>
      <c r="D6">
        <v>60</v>
      </c>
      <c r="E6">
        <v>50</v>
      </c>
      <c r="F6">
        <v>90</v>
      </c>
      <c r="G6" s="16">
        <v>7.0000000000000007E-2</v>
      </c>
      <c r="H6" s="16">
        <v>0.7</v>
      </c>
      <c r="I6" t="s">
        <v>81</v>
      </c>
    </row>
    <row r="7" spans="1:9">
      <c r="A7" t="s">
        <v>82</v>
      </c>
      <c r="B7" s="17">
        <v>3.5000000000000001E-3</v>
      </c>
      <c r="C7">
        <v>0</v>
      </c>
      <c r="D7">
        <v>0</v>
      </c>
      <c r="E7">
        <v>50</v>
      </c>
      <c r="F7">
        <v>90</v>
      </c>
      <c r="G7" s="16">
        <v>0</v>
      </c>
      <c r="H7" s="16">
        <v>0.8</v>
      </c>
      <c r="I7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2026-06-10T04:23:54Z</dcterms:created>
  <dcterms:modified xsi:type="dcterms:W3CDTF">2026-10-21T21:08:58Z</dcterms:modified>
  <cp:category/>
  <cp:contentStatus/>
</cp:coreProperties>
</file>