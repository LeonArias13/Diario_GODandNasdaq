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 defaultThemeVersion="166925"/>
  <xr:revisionPtr revIDLastSave="0" documentId="8_{3F254249-DC69-49EF-953E-A9030F70A68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4" l="1"/>
  <c r="K2" i="4"/>
  <c r="C3" i="4" l="1"/>
  <c r="K3" i="4" l="1"/>
  <c r="M3" i="4"/>
  <c r="C4" i="4"/>
  <c r="N3" i="4"/>
  <c r="K4" i="4" l="1"/>
  <c r="M4" i="4"/>
  <c r="C5" i="4"/>
  <c r="N4" i="4"/>
  <c r="K5" i="4" l="1"/>
  <c r="M5" i="4"/>
  <c r="C6" i="4"/>
  <c r="N5" i="4"/>
  <c r="K6" i="4" l="1"/>
  <c r="M6" i="4"/>
  <c r="C7" i="4"/>
  <c r="N6" i="4"/>
  <c r="K7" i="4" l="1"/>
  <c r="M7" i="4"/>
  <c r="C8" i="4"/>
  <c r="N7" i="4"/>
  <c r="K8" i="4" l="1"/>
  <c r="M8" i="4"/>
  <c r="N8" i="4"/>
</calcChain>
</file>

<file path=xl/sharedStrings.xml><?xml version="1.0" encoding="utf-8"?>
<sst xmlns="http://schemas.openxmlformats.org/spreadsheetml/2006/main" count="43" uniqueCount="26">
  <si>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</si>
  <si>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</si>
  <si>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</si>
  <si>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</si>
  <si>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</si>
  <si>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</si>
  <si>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</si>
  <si>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</si>
  <si>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</si>
  <si>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</si>
  <si>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</si>
  <si>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</si>
  <si>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</si>
  <si>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</si>
  <si>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</si>
  <si>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Semilla</t>
  </si>
  <si>
    <t>TP</t>
  </si>
  <si>
    <t>SELL</t>
  </si>
  <si>
    <t>Mercado con ruido, se ingresa a la operación asegurando un 50% y dejando correr, cierra SL positivo, se devuelve precio a Compra</t>
  </si>
  <si>
    <t>SL</t>
  </si>
  <si>
    <t>Ruido en Ventas, se asegura entrada inmediatamente queda en positivo se devuelve a SL</t>
  </si>
  <si>
    <t>PPA 300, SL Ahorrado</t>
  </si>
  <si>
    <t>PPA 135, SL Ahorrado</t>
  </si>
  <si>
    <t>PA 59, TP</t>
  </si>
  <si>
    <t>Apertura con ruido en compra, se abre la venta pero se devuelve el precio, tranquilo sin expectativa, se hacen ajustes quedan todos en protección en el retroceso de la vela</t>
  </si>
  <si>
    <t>PPA 141, se hacen 3 ajustes, por impulso se hace el tercero aunque se gano esa ultima debo respetar que maximo 2 operaciones, se hay estrategia un ajuste sino maximo 2 ajustes diarios (DISCIPLINA)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</si>
</sst>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</cellXfs>
  <cellStyles count="2">
    <cellStyle name="Hyperlink" xfId="1" xr:uid="{00000000-000B-0000-0000-000008000000}"/>
    <cellStyle name="Normal" xfId="0" builtinId="0"/>
  </cellStyles>
  <dxfs count="17"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O8" totalsRowShown="0" headerRowDxfId="15" headerRowBorderDxfId="14">
  <autoFilter ref="A1:O8" xr:uid="{4A9E33D3-7020-4F9C-BD9E-F60D3EA3C645}"/>
  <tableColumns count="15">
    <tableColumn id="1" xr3:uid="{B2179686-94A6-47CB-82BB-24954724055D}" name="Fecha" dataDxfId="13"/>
    <tableColumn id="14" xr3:uid="{E37DBF04-766D-4AF7-9F73-CBD71B2EB08F}" name="Etapa "/>
    <tableColumn id="15" xr3:uid="{DD97F666-A12A-4AEC-BCDF-0D6CA1EC34DB}" name="Balance Inicial " dataDxfId="12"/>
    <tableColumn id="10" xr3:uid="{BEDB6958-2619-444F-9BA6-5C01EF5126BE}" name="Resultado" dataDxfId="11"/>
    <tableColumn id="9" xr3:uid="{3D99FEEF-4BC6-4C34-8507-1BDC55D468B4}" name="Operación" dataDxfId="10"/>
    <tableColumn id="16" xr3:uid="{0CB2D386-CD95-48B6-BE32-8E5E30974ED8}" name="Estrategia" dataDxfId="9"/>
    <tableColumn id="17" xr3:uid="{BE561AEF-A3F1-4D70-ACEB-238E5CF316B3}" name="Ajuste 1" dataDxfId="8"/>
    <tableColumn id="4" xr3:uid="{A23A4D32-0A60-4CE7-BA9E-E9240F796DA6}" name="Ajuste 2" dataDxfId="7"/>
    <tableColumn id="5" xr3:uid="{DEDBB078-2359-44D8-A99F-A7DC03A35AF6}" name="Ajuste 3" dataDxfId="6"/>
    <tableColumn id="6" xr3:uid="{9B01D893-46A9-4B0A-A54E-22617DD8955A}" name="Ajuste 4" dataDxfId="5"/>
    <tableColumn id="18" xr3:uid="{AB48600F-4E19-42DC-A719-9A8AD9B84698}" name="Balance Final" dataDxfId="4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3"/>
    <tableColumn id="19" xr3:uid="{481EDC30-F0E0-4C13-8BD7-6FC3F7BDF3B8}" name="% día" dataDxfId="2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">
      <calculatedColumnFormula>Tabla13[[#This Row],[% día]]</calculatedColumnFormula>
    </tableColumn>
    <tableColumn id="8" xr3:uid="{258B4FD8-869C-4D06-AEC0-881ADBF62A78}" name="Observacion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O8"/>
  <sheetViews>
    <sheetView tabSelected="1" workbookViewId="0">
      <pane ySplit="1" topLeftCell="A2" activePane="bottomLeft" state="frozen"/>
      <selection pane="bottomLeft" sqref="A1:XFD1"/>
    </sheetView>
  </sheetViews>
  <sheetFormatPr defaultColWidth="0" defaultRowHeight="15"/>
  <cols>
    <col min="1" max="1" width="11.7109375" style="4" customWidth="1"/>
    <col min="2" max="2" width="12.7109375" style="5" customWidth="1"/>
    <col min="3" max="3" width="16.7109375" style="3" bestFit="1" customWidth="1"/>
    <col min="4" max="4" width="10.7109375" style="3" customWidth="1"/>
    <col min="5" max="5" width="12.5703125" style="3" bestFit="1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5" width="255.7109375" style="3" customWidth="1"/>
  </cols>
  <sheetData>
    <row r="1" spans="1:15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</row>
    <row r="2" spans="1:15">
      <c r="A2" s="8">
        <v>46307</v>
      </c>
      <c r="B2" s="9" t="s">
        <v>15</v>
      </c>
      <c r="C2" s="10">
        <v>520.02</v>
      </c>
      <c r="D2" s="10" t="s">
        <v>16</v>
      </c>
      <c r="E2" s="10" t="s">
        <v>17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v>0.82</v>
      </c>
      <c r="O2" s="11" t="s">
        <v>18</v>
      </c>
    </row>
    <row r="3" spans="1:15">
      <c r="A3" s="8">
        <v>46308</v>
      </c>
      <c r="B3" s="9" t="s">
        <v>15</v>
      </c>
      <c r="C3" s="10">
        <f>K2+L2</f>
        <v>524.28</v>
      </c>
      <c r="D3" s="10" t="s">
        <v>19</v>
      </c>
      <c r="E3" s="10" t="s">
        <v>17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>Tabla13[[#This Row],[% día]]+N2</f>
        <v>0.82</v>
      </c>
      <c r="O3" s="11" t="s">
        <v>20</v>
      </c>
    </row>
    <row r="4" spans="1:15">
      <c r="A4" s="8">
        <v>46309</v>
      </c>
      <c r="B4" s="9" t="s">
        <v>15</v>
      </c>
      <c r="C4" s="10">
        <f>K3+L3</f>
        <v>524.28</v>
      </c>
      <c r="D4" s="10" t="s">
        <v>19</v>
      </c>
      <c r="E4" s="10" t="s">
        <v>17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>Tabla13[[#This Row],[% día]]+N3</f>
        <v>0.82</v>
      </c>
      <c r="O4" s="11" t="s">
        <v>21</v>
      </c>
    </row>
    <row r="5" spans="1:15">
      <c r="A5" s="8">
        <v>46310</v>
      </c>
      <c r="B5" s="9" t="s">
        <v>15</v>
      </c>
      <c r="C5" s="10">
        <f>K4+L4</f>
        <v>524.28</v>
      </c>
      <c r="D5" s="10" t="s">
        <v>19</v>
      </c>
      <c r="E5" s="10" t="s">
        <v>17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>Tabla13[[#This Row],[% día]]+N4</f>
        <v>0.82</v>
      </c>
      <c r="O5" s="11" t="s">
        <v>22</v>
      </c>
    </row>
    <row r="6" spans="1:15">
      <c r="A6" s="8">
        <v>46311</v>
      </c>
      <c r="B6" s="9" t="s">
        <v>15</v>
      </c>
      <c r="C6" s="10">
        <f>K5+L5</f>
        <v>524.28</v>
      </c>
      <c r="D6" s="10" t="s">
        <v>16</v>
      </c>
      <c r="E6" s="10" t="s">
        <v>17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>Tabla13[[#This Row],[% día]]+N5</f>
        <v>0.82</v>
      </c>
      <c r="O6" s="11" t="s">
        <v>23</v>
      </c>
    </row>
    <row r="7" spans="1:15">
      <c r="A7" s="8">
        <v>46314</v>
      </c>
      <c r="B7" s="9" t="s">
        <v>15</v>
      </c>
      <c r="C7" s="10">
        <f>K6+L6</f>
        <v>524.28</v>
      </c>
      <c r="D7" s="10" t="s">
        <v>19</v>
      </c>
      <c r="E7" s="10" t="s">
        <v>17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>Tabla13[[#This Row],[% día]]+N6</f>
        <v>-0.27292744335088137</v>
      </c>
      <c r="O7" s="11" t="s">
        <v>24</v>
      </c>
    </row>
    <row r="8" spans="1:15">
      <c r="A8" s="8">
        <v>46315</v>
      </c>
      <c r="B8" s="9" t="s">
        <v>15</v>
      </c>
      <c r="C8" s="10">
        <f>K7+L7</f>
        <v>518.54999999999995</v>
      </c>
      <c r="D8" s="10" t="s">
        <v>16</v>
      </c>
      <c r="E8" s="10" t="s">
        <v>17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>Tabla13[[#This Row],[% día]]+N7</f>
        <v>-0.16879090878333725</v>
      </c>
      <c r="O8" s="11" t="s">
        <v>25</v>
      </c>
    </row>
  </sheetData>
  <conditionalFormatting sqref="M1:O1048576">
    <cfRule type="cellIs" dxfId="16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2026-10-20T19:38:10Z</dcterms:modified>
  <cp:category/>
  <cp:contentStatus/>
</cp:coreProperties>
</file>